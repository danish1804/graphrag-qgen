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Questions" sheetId="2" state="visible" r:id="rId2"/>
    <sheet xmlns:r="http://schemas.openxmlformats.org/officeDocument/2006/relationships" name="Rater_1" sheetId="3" state="visible" r:id="rId3"/>
    <sheet xmlns:r="http://schemas.openxmlformats.org/officeDocument/2006/relationships" name="Rater_2" sheetId="4" state="visible" r:id="rId4"/>
    <sheet xmlns:r="http://schemas.openxmlformats.org/officeDocument/2006/relationships" name="Rater_3" sheetId="5" state="visible" r:id="rId5"/>
    <sheet xmlns:r="http://schemas.openxmlformats.org/officeDocument/2006/relationships" name="Agreement" sheetId="6" state="visible" r:id="rId6"/>
    <sheet xmlns:r="http://schemas.openxmlformats.org/officeDocument/2006/relationships" name="System_Key" sheetId="7" state="visible" r:id="rId7"/>
  </sheets>
  <definedNames/>
  <calcPr calcId="124519" fullCalcOnLoad="1"/>
</workbook>
</file>

<file path=xl/styles.xml><?xml version="1.0" encoding="utf-8"?>
<styleSheet xmlns="http://schemas.openxmlformats.org/spreadsheetml/2006/main">
  <numFmts count="2">
    <numFmt numFmtId="164" formatCode="0.000"/>
    <numFmt numFmtId="165" formatCode="0.0%"/>
  </numFmts>
  <fonts count="18">
    <font>
      <name val="Calibri"/>
      <family val="2"/>
      <color theme="1"/>
      <sz val="11"/>
      <scheme val="minor"/>
    </font>
    <font>
      <name val="Arial"/>
      <b val="1"/>
      <color rgb="001F4E79"/>
      <sz val="16"/>
    </font>
    <font>
      <name val="Arial"/>
      <i val="1"/>
      <color rgb="00666666"/>
      <sz val="11"/>
    </font>
    <font>
      <name val="Arial"/>
      <b val="1"/>
      <color rgb="001F4E79"/>
      <sz val="11"/>
    </font>
    <font>
      <name val="Arial"/>
      <sz val="11"/>
    </font>
    <font>
      <name val="Arial"/>
      <b val="1"/>
      <sz val="11"/>
    </font>
    <font>
      <name val="Arial"/>
      <b val="1"/>
      <color rgb="001F4E79"/>
      <sz val="12"/>
    </font>
    <font>
      <name val="Arial"/>
      <b val="1"/>
      <color rgb="00FFFFFF"/>
      <sz val="11"/>
    </font>
    <font>
      <name val="Arial"/>
      <i val="1"/>
      <color rgb="00888888"/>
      <sz val="10"/>
    </font>
    <font>
      <name val="Arial"/>
      <i val="1"/>
      <color rgb="00C00000"/>
      <sz val="9"/>
    </font>
    <font>
      <name val="Arial"/>
      <b val="1"/>
      <color rgb="00C00000"/>
      <sz val="11"/>
    </font>
    <font>
      <name val="Arial"/>
      <color rgb="00666666"/>
      <sz val="10"/>
    </font>
    <font>
      <name val="Arial"/>
      <sz val="10"/>
    </font>
    <font>
      <name val="Arial"/>
      <b val="1"/>
      <color rgb="001F4E79"/>
      <sz val="14"/>
    </font>
    <font>
      <name val="Arial"/>
      <b val="1"/>
      <color rgb="001F4E79"/>
      <sz val="13"/>
    </font>
    <font>
      <name val="Arial"/>
      <i val="1"/>
      <color rgb="00666666"/>
      <sz val="10"/>
    </font>
    <font>
      <name val="Arial"/>
      <i val="1"/>
      <color rgb="00666666"/>
      <sz val="9"/>
    </font>
    <font>
      <name val="Arial"/>
      <b val="1"/>
      <color rgb="00C00000"/>
      <sz val="12"/>
    </font>
  </fonts>
  <fills count="6">
    <fill>
      <patternFill/>
    </fill>
    <fill>
      <patternFill patternType="gray125"/>
    </fill>
    <fill>
      <patternFill patternType="solid">
        <fgColor rgb="00FFF2CC"/>
      </patternFill>
    </fill>
    <fill>
      <patternFill patternType="solid">
        <fgColor rgb="00FCE4E4"/>
      </patternFill>
    </fill>
    <fill>
      <patternFill patternType="solid">
        <fgColor rgb="001F4E79"/>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xf>
    <xf numFmtId="0" fontId="4" fillId="0" borderId="0" applyAlignment="1" pivotButton="0" quotePrefix="0" xfId="0">
      <alignment vertical="top" wrapText="1"/>
    </xf>
    <xf numFmtId="0" fontId="3" fillId="2" borderId="0" applyAlignment="1" pivotButton="0" quotePrefix="0" xfId="0">
      <alignment vertical="top"/>
    </xf>
    <xf numFmtId="0" fontId="4" fillId="2" borderId="0" applyAlignment="1" pivotButton="0" quotePrefix="0" xfId="0">
      <alignment vertical="top" wrapText="1"/>
    </xf>
    <xf numFmtId="0" fontId="3" fillId="3" borderId="0" applyAlignment="1" pivotButton="0" quotePrefix="0" xfId="0">
      <alignment vertical="top"/>
    </xf>
    <xf numFmtId="0" fontId="5" fillId="3" borderId="0" applyAlignment="1" pivotButton="0" quotePrefix="0" xfId="0">
      <alignment vertical="top" wrapText="1"/>
    </xf>
    <xf numFmtId="0" fontId="6" fillId="0" borderId="0" pivotButton="0" quotePrefix="0" xfId="0"/>
    <xf numFmtId="0" fontId="7" fillId="4" borderId="1" applyAlignment="1" pivotButton="0" quotePrefix="0" xfId="0">
      <alignment horizontal="center" vertical="center" wrapText="1"/>
    </xf>
    <xf numFmtId="0" fontId="8" fillId="0" borderId="0" applyAlignment="1" pivotButton="0" quotePrefix="0" xfId="0">
      <alignment vertical="top" wrapText="1"/>
    </xf>
    <xf numFmtId="0" fontId="9" fillId="0" borderId="0" pivotButton="0" quotePrefix="0" xfId="0"/>
    <xf numFmtId="0" fontId="10" fillId="0" borderId="0" pivotButton="0" quotePrefix="0" xfId="0"/>
    <xf numFmtId="0" fontId="11" fillId="0" borderId="1" pivotButton="0" quotePrefix="0" xfId="0"/>
    <xf numFmtId="0" fontId="8" fillId="2" borderId="1" applyAlignment="1" pivotButton="0" quotePrefix="0" xfId="0">
      <alignment horizontal="center" vertical="top"/>
    </xf>
    <xf numFmtId="0" fontId="8" fillId="2" borderId="1" applyAlignment="1" pivotButton="0" quotePrefix="0" xfId="0">
      <alignment horizontal="left" vertical="top" wrapText="1"/>
    </xf>
    <xf numFmtId="0" fontId="12" fillId="2" borderId="1" applyAlignment="1" pivotButton="0" quotePrefix="0" xfId="0">
      <alignment horizontal="center" vertical="top"/>
    </xf>
    <xf numFmtId="0" fontId="12" fillId="2" borderId="1" applyAlignment="1" pivotButton="0" quotePrefix="0" xfId="0">
      <alignment horizontal="left" vertical="top" wrapText="1"/>
    </xf>
    <xf numFmtId="0" fontId="13" fillId="0" borderId="0" pivotButton="0" quotePrefix="0" xfId="0"/>
    <xf numFmtId="0" fontId="12" fillId="0" borderId="1" applyAlignment="1" pivotButton="0" quotePrefix="0" xfId="0">
      <alignment horizontal="center"/>
    </xf>
    <xf numFmtId="2" fontId="12" fillId="0" borderId="1" applyAlignment="1" pivotButton="0" quotePrefix="0" xfId="0">
      <alignment horizontal="center"/>
    </xf>
    <xf numFmtId="164" fontId="12" fillId="0" borderId="1" applyAlignment="1" pivotButton="0" quotePrefix="0" xfId="0">
      <alignment horizontal="center"/>
    </xf>
    <xf numFmtId="0" fontId="14" fillId="0" borderId="0" pivotButton="0" quotePrefix="0" xfId="0"/>
    <xf numFmtId="0" fontId="3" fillId="0" borderId="0" pivotButton="0" quotePrefix="0" xfId="0"/>
    <xf numFmtId="1" fontId="4" fillId="5" borderId="1" applyAlignment="1" pivotButton="0" quotePrefix="0" xfId="0">
      <alignment horizontal="center"/>
    </xf>
    <xf numFmtId="0" fontId="15" fillId="0" borderId="0" pivotButton="0" quotePrefix="0" xfId="0"/>
    <xf numFmtId="165" fontId="4" fillId="5" borderId="1" applyAlignment="1" pivotButton="0" quotePrefix="0" xfId="0">
      <alignment horizontal="center"/>
    </xf>
    <xf numFmtId="2" fontId="4" fillId="5" borderId="1" applyAlignment="1" pivotButton="0" quotePrefix="0" xfId="0">
      <alignment horizontal="center"/>
    </xf>
    <xf numFmtId="164" fontId="4" fillId="5" borderId="1" applyAlignment="1" pivotButton="0" quotePrefix="0" xfId="0">
      <alignment horizontal="center"/>
    </xf>
    <xf numFmtId="164" fontId="5" fillId="5" borderId="1" applyAlignment="1" pivotButton="0" quotePrefix="0" xfId="0">
      <alignment horizontal="center"/>
    </xf>
    <xf numFmtId="0" fontId="16" fillId="0" borderId="0" pivotButton="0" quotePrefix="0" xfId="0"/>
    <xf numFmtId="0" fontId="17" fillId="3" borderId="0" pivotButton="0" quotePrefix="0" xfId="0"/>
    <xf numFmtId="2" fontId="12" fillId="2" borderId="1" applyAlignment="1" pivotButton="0" quotePrefix="0" xfId="0">
      <alignment horizontal="center"/>
    </xf>
    <xf numFmtId="165" fontId="5"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C32"/>
  <sheetViews>
    <sheetView showGridLines="0" workbookViewId="0">
      <selection activeCell="A1" sqref="A1"/>
    </sheetView>
  </sheetViews>
  <sheetFormatPr baseColWidth="8" defaultRowHeight="15"/>
  <cols>
    <col width="3" customWidth="1" min="1" max="1"/>
    <col width="26" customWidth="1" min="2" max="2"/>
    <col width="95" customWidth="1" min="3" max="3"/>
  </cols>
  <sheetData>
    <row r="1">
      <c r="B1" s="1" t="inlineStr">
        <is>
          <t>Human Evaluation — Golden Corpus Labelling</t>
        </is>
      </c>
    </row>
    <row r="2">
      <c r="B2" s="2" t="inlineStr">
        <is>
          <t>P000233DS · EdGenAI · AI-generated exam questions</t>
        </is>
      </c>
    </row>
    <row r="4">
      <c r="B4" s="3" t="inlineStr">
        <is>
          <t>Purpose</t>
        </is>
      </c>
      <c r="C4" s="4" t="inlineStr">
        <is>
          <t>Build a human-labelled reference set so we can (a) validate the difficulty mapping and (b) measure whether the automated LLM judge agrees with human experts. Without this, the judge has nothing to be calibrated against.</t>
        </is>
      </c>
    </row>
    <row r="6">
      <c r="B6" s="3" t="inlineStr">
        <is>
          <t>Raters</t>
        </is>
      </c>
      <c r="C6" s="4" t="inlineStr">
        <is>
          <t>Three independent raters. Each rater uses ONLY their own tab: Rater_1, Rater_2, Rater_3. Agree who is which before starting and record it below.</t>
        </is>
      </c>
    </row>
    <row r="7">
      <c r="B7" s="5" t="inlineStr">
        <is>
          <t>Rater 1 =</t>
        </is>
      </c>
      <c r="C7" s="6" t="inlineStr">
        <is>
          <t>(name)</t>
        </is>
      </c>
    </row>
    <row r="8">
      <c r="B8" s="5" t="inlineStr">
        <is>
          <t>Rater 2 =</t>
        </is>
      </c>
      <c r="C8" s="6" t="inlineStr">
        <is>
          <t>(name)</t>
        </is>
      </c>
    </row>
    <row r="9">
      <c r="B9" s="5" t="inlineStr">
        <is>
          <t>Rater 3 =</t>
        </is>
      </c>
      <c r="C9" s="6" t="inlineStr">
        <is>
          <t>(name)</t>
        </is>
      </c>
    </row>
    <row r="11">
      <c r="B11" s="7" t="inlineStr">
        <is>
          <t>RULE — rate blind</t>
        </is>
      </c>
      <c r="C11" s="8" t="inlineStr">
        <is>
          <t>Do NOT open the 'System_Key' tab until all three raters have finished. It contains the system's own difficulty label and the LLM judge's scores. Seeing them first will anchor your judgement and invalidate the calibration.</t>
        </is>
      </c>
    </row>
    <row r="12">
      <c r="B12" s="7" t="inlineStr">
        <is>
          <t>RULE — independent</t>
        </is>
      </c>
      <c r="C12" s="8" t="inlineStr">
        <is>
          <t>Do not discuss individual questions with the other raters while labelling. Disagreement is data, not a problem — it tells us how hard the task genuinely is.</t>
        </is>
      </c>
    </row>
    <row r="14">
      <c r="B14" s="9" t="inlineStr">
        <is>
          <t>What to record for each question</t>
        </is>
      </c>
    </row>
    <row r="15">
      <c r="B15" s="3" t="inlineStr">
        <is>
          <t>Difficulty</t>
        </is>
      </c>
      <c r="C15" s="4" t="inlineStr">
        <is>
          <t>easy / medium / hard — for the intended cohort (undergraduate IT student who has completed the relevant topic).</t>
        </is>
      </c>
    </row>
    <row r="16">
      <c r="B16" s="3" t="inlineStr"/>
      <c r="C16" s="4" t="inlineStr">
        <is>
          <t>easy = direct recall or a single definition · medium = requires explaining or connecting two concepts · hard = requires application, analysis, or evaluation across concepts.</t>
        </is>
      </c>
    </row>
    <row r="18">
      <c r="B18" s="9" t="inlineStr">
        <is>
          <t>Quality dimensions (1 = poor, 5 = excellent)</t>
        </is>
      </c>
    </row>
    <row r="19">
      <c r="B19" s="3" t="inlineStr">
        <is>
          <t>Clarity</t>
        </is>
      </c>
      <c r="C19" s="4" t="inlineStr">
        <is>
          <t>Is the question unambiguous and well-formed English? Would a student know what is being asked?</t>
        </is>
      </c>
    </row>
    <row r="20">
      <c r="B20" s="3" t="inlineStr">
        <is>
          <t>Groundedness</t>
        </is>
      </c>
      <c r="C20" s="4" t="inlineStr">
        <is>
          <t>Is it answerable from the subject material, without inventing facts? Flag anything that references a figure, table, page, or author that a student cannot see.</t>
        </is>
      </c>
    </row>
    <row r="21">
      <c r="B21" s="3" t="inlineStr">
        <is>
          <t>Solvability</t>
        </is>
      </c>
      <c r="C21" s="4" t="inlineStr">
        <is>
          <t>Can a competent student actually answer it? Is it self-contained — no missing context, no 'according to the passage' when there is no passage?</t>
        </is>
      </c>
    </row>
    <row r="22">
      <c r="B22" s="3" t="inlineStr">
        <is>
          <t>Would use</t>
        </is>
      </c>
      <c r="C22" s="4" t="inlineStr">
        <is>
          <t>Would you put this in a real exam or assessment, as written or with trivial edits? This is the single most important column.</t>
        </is>
      </c>
    </row>
    <row r="23">
      <c r="B23" s="3" t="inlineStr">
        <is>
          <t>Comments</t>
        </is>
      </c>
      <c r="C23" s="4" t="inlineStr">
        <is>
          <t>Free text. Especially valuable when you score anything 1–2, or when you disagree with the difficulty the question seems to aim for.</t>
        </is>
      </c>
    </row>
    <row r="25">
      <c r="B25" s="3" t="inlineStr">
        <is>
          <t>Scoring guide</t>
        </is>
      </c>
      <c r="C25" s="4" t="inlineStr">
        <is>
          <t>1 = unusable · 2 = major problems · 3 = usable after edits · 4 = good, minor edits · 5 = use as-is.</t>
        </is>
      </c>
    </row>
    <row r="27">
      <c r="B27" s="9" t="inlineStr">
        <is>
          <t>After labelling</t>
        </is>
      </c>
    </row>
    <row r="28">
      <c r="B28" s="3" t="inlineStr">
        <is>
          <t>Agreement tab</t>
        </is>
      </c>
      <c r="C28" s="4" t="inlineStr">
        <is>
          <t>Computes inter-rater agreement automatically, including Fleiss' kappa on the difficulty labels. Interpretation: &lt;0.20 poor · 0.21–0.40 fair · 0.41–0.60 moderate · 0.61–0.80 substantial · &gt;0.80 almost perfect.</t>
        </is>
      </c>
    </row>
    <row r="29">
      <c r="B29" s="3" t="inlineStr">
        <is>
          <t>Why kappa matters</t>
        </is>
      </c>
      <c r="C29" s="4" t="inlineStr">
        <is>
          <t>If humans do not agree with each other, we cannot expect the LLM judge to agree with humans. Kappa establishes the ceiling for any judge-vs-human comparison.</t>
        </is>
      </c>
    </row>
    <row r="30">
      <c r="B30" s="3" t="inlineStr">
        <is>
          <t>Then compare</t>
        </is>
      </c>
      <c r="C30" s="4" t="inlineStr">
        <is>
          <t>Only once all raters are done, open System_Key to compare human consensus against the system difficulty and the LLM judge's scores.</t>
        </is>
      </c>
    </row>
    <row r="32">
      <c r="B32" s="5" t="inlineStr">
        <is>
          <t>Yellow cells</t>
        </is>
      </c>
      <c r="C32" s="6" t="inlineStr">
        <is>
          <t>Yellow = a cell you fill in. Everything else is reference or calculated.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showGridLines="0" workbookViewId="0">
      <pane ySplit="1" topLeftCell="A2" activePane="bottomLeft" state="frozen"/>
      <selection pane="bottomLeft" activeCell="A1" sqref="A1"/>
    </sheetView>
  </sheetViews>
  <sheetFormatPr baseColWidth="8" defaultRowHeight="15"/>
  <cols>
    <col width="14" customWidth="1" min="1" max="1"/>
    <col width="20" customWidth="1" min="2" max="2"/>
    <col width="14" customWidth="1" min="3" max="3"/>
    <col width="54" customWidth="1" min="4" max="4"/>
    <col width="86" customWidth="1" min="5" max="5"/>
  </cols>
  <sheetData>
    <row r="1" ht="26" customHeight="1">
      <c r="A1" s="10" t="inlineStr">
        <is>
          <t>question_id</t>
        </is>
      </c>
      <c r="B1" s="10" t="inlineStr">
        <is>
          <t>domain</t>
        </is>
      </c>
      <c r="C1" s="10" t="inlineStr">
        <is>
          <t>question_type</t>
        </is>
      </c>
      <c r="D1" s="10" t="inlineStr">
        <is>
          <t>learning_outcome</t>
        </is>
      </c>
      <c r="E1" s="10" t="inlineStr">
        <is>
          <t>question_text</t>
        </is>
      </c>
    </row>
    <row r="2">
      <c r="A2" s="11" t="inlineStr">
        <is>
          <t>EXAMPLE</t>
        </is>
      </c>
      <c r="B2" s="11" t="inlineStr">
        <is>
          <t>database</t>
        </is>
      </c>
      <c r="C2" s="11" t="inlineStr">
        <is>
          <t>conceptual</t>
        </is>
      </c>
      <c r="D2" s="11" t="inlineStr">
        <is>
          <t>Explain how normalisation reduces redundancy in relational databases</t>
        </is>
      </c>
      <c r="E2" s="11" t="inlineStr">
        <is>
          <t>Explain why it is critical to achieve 2NF before proceeding to 3NF, and describe what would happen if this order were reversed.</t>
        </is>
      </c>
    </row>
    <row r="3">
      <c r="A3" s="12" t="inlineStr">
        <is>
          <t>↑ example row — the populate script (scripts/build_eval_sheet.py) replaces it with the real corpus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0" customWidth="1" min="3" max="3"/>
    <col width="14" customWidth="1" min="4" max="4"/>
    <col width="12" customWidth="1" min="5" max="5"/>
    <col width="11" customWidth="1" min="6" max="6"/>
    <col width="60" customWidth="1" min="7" max="7"/>
  </cols>
  <sheetData>
    <row r="1">
      <c r="A1" s="13" t="inlineStr">
        <is>
          <t>RATER 1 — fill the yellow cells only. Do not open System_Key until everyone has finished.</t>
        </is>
      </c>
    </row>
    <row r="2" ht="24" customHeight="1">
      <c r="A2" s="10" t="inlineStr">
        <is>
          <t>question_id</t>
        </is>
      </c>
      <c r="B2" s="10" t="inlineStr">
        <is>
          <t>difficulty</t>
        </is>
      </c>
      <c r="C2" s="10" t="inlineStr">
        <is>
          <t>clarity</t>
        </is>
      </c>
      <c r="D2" s="10" t="inlineStr">
        <is>
          <t>groundedness</t>
        </is>
      </c>
      <c r="E2" s="10" t="inlineStr">
        <is>
          <t>solvability</t>
        </is>
      </c>
      <c r="F2" s="10" t="inlineStr">
        <is>
          <t>would_use</t>
        </is>
      </c>
      <c r="G2" s="10" t="inlineStr">
        <is>
          <t>comments</t>
        </is>
      </c>
    </row>
    <row r="3">
      <c r="A3" s="14">
        <f>IF(Questions!A2="","",Questions!A2)</f>
        <v/>
      </c>
      <c r="B3" s="15" t="inlineStr">
        <is>
          <t>medium</t>
        </is>
      </c>
      <c r="C3" s="15" t="n">
        <v>4</v>
      </c>
      <c r="D3" s="15" t="n">
        <v>5</v>
      </c>
      <c r="E3" s="15" t="n">
        <v>4</v>
      </c>
      <c r="F3" s="15" t="n">
        <v>4</v>
      </c>
      <c r="G3" s="16" t="inlineStr">
        <is>
          <t>example — clear and grounded; delete this row's values before starting</t>
        </is>
      </c>
    </row>
    <row r="4">
      <c r="A4" s="14">
        <f>IF(Questions!A3="","",Questions!A3)</f>
        <v/>
      </c>
      <c r="B4" s="17" t="n"/>
      <c r="C4" s="17" t="n"/>
      <c r="D4" s="17" t="n"/>
      <c r="E4" s="17" t="n"/>
      <c r="F4" s="17" t="n"/>
      <c r="G4" s="18" t="n"/>
    </row>
    <row r="5">
      <c r="A5" s="14">
        <f>IF(Questions!A4="","",Questions!A4)</f>
        <v/>
      </c>
      <c r="B5" s="17" t="n"/>
      <c r="C5" s="17" t="n"/>
      <c r="D5" s="17" t="n"/>
      <c r="E5" s="17" t="n"/>
      <c r="F5" s="17" t="n"/>
      <c r="G5" s="18" t="n"/>
    </row>
    <row r="6">
      <c r="A6" s="14">
        <f>IF(Questions!A5="","",Questions!A5)</f>
        <v/>
      </c>
      <c r="B6" s="17" t="n"/>
      <c r="C6" s="17" t="n"/>
      <c r="D6" s="17" t="n"/>
      <c r="E6" s="17" t="n"/>
      <c r="F6" s="17" t="n"/>
      <c r="G6" s="18" t="n"/>
    </row>
    <row r="7">
      <c r="A7" s="14">
        <f>IF(Questions!A6="","",Questions!A6)</f>
        <v/>
      </c>
      <c r="B7" s="17" t="n"/>
      <c r="C7" s="17" t="n"/>
      <c r="D7" s="17" t="n"/>
      <c r="E7" s="17" t="n"/>
      <c r="F7" s="17" t="n"/>
      <c r="G7" s="18" t="n"/>
    </row>
    <row r="8">
      <c r="A8" s="14">
        <f>IF(Questions!A7="","",Questions!A7)</f>
        <v/>
      </c>
      <c r="B8" s="17" t="n"/>
      <c r="C8" s="17" t="n"/>
      <c r="D8" s="17" t="n"/>
      <c r="E8" s="17" t="n"/>
      <c r="F8" s="17" t="n"/>
      <c r="G8" s="18" t="n"/>
    </row>
    <row r="9">
      <c r="A9" s="14">
        <f>IF(Questions!A8="","",Questions!A8)</f>
        <v/>
      </c>
      <c r="B9" s="17" t="n"/>
      <c r="C9" s="17" t="n"/>
      <c r="D9" s="17" t="n"/>
      <c r="E9" s="17" t="n"/>
      <c r="F9" s="17" t="n"/>
      <c r="G9" s="18" t="n"/>
    </row>
    <row r="10">
      <c r="A10" s="14">
        <f>IF(Questions!A9="","",Questions!A9)</f>
        <v/>
      </c>
      <c r="B10" s="17" t="n"/>
      <c r="C10" s="17" t="n"/>
      <c r="D10" s="17" t="n"/>
      <c r="E10" s="17" t="n"/>
      <c r="F10" s="17" t="n"/>
      <c r="G10" s="18" t="n"/>
    </row>
    <row r="11">
      <c r="A11" s="14">
        <f>IF(Questions!A10="","",Questions!A10)</f>
        <v/>
      </c>
      <c r="B11" s="17" t="n"/>
      <c r="C11" s="17" t="n"/>
      <c r="D11" s="17" t="n"/>
      <c r="E11" s="17" t="n"/>
      <c r="F11" s="17" t="n"/>
      <c r="G11" s="18" t="n"/>
    </row>
    <row r="12">
      <c r="A12" s="14">
        <f>IF(Questions!A11="","",Questions!A11)</f>
        <v/>
      </c>
      <c r="B12" s="17" t="n"/>
      <c r="C12" s="17" t="n"/>
      <c r="D12" s="17" t="n"/>
      <c r="E12" s="17" t="n"/>
      <c r="F12" s="17" t="n"/>
      <c r="G12" s="18" t="n"/>
    </row>
    <row r="13">
      <c r="A13" s="14">
        <f>IF(Questions!A12="","",Questions!A12)</f>
        <v/>
      </c>
      <c r="B13" s="17" t="n"/>
      <c r="C13" s="17" t="n"/>
      <c r="D13" s="17" t="n"/>
      <c r="E13" s="17" t="n"/>
      <c r="F13" s="17" t="n"/>
      <c r="G13" s="18" t="n"/>
    </row>
    <row r="14">
      <c r="A14" s="14">
        <f>IF(Questions!A13="","",Questions!A13)</f>
        <v/>
      </c>
      <c r="B14" s="17" t="n"/>
      <c r="C14" s="17" t="n"/>
      <c r="D14" s="17" t="n"/>
      <c r="E14" s="17" t="n"/>
      <c r="F14" s="17" t="n"/>
      <c r="G14" s="18" t="n"/>
    </row>
    <row r="15">
      <c r="A15" s="14">
        <f>IF(Questions!A14="","",Questions!A14)</f>
        <v/>
      </c>
      <c r="B15" s="17" t="n"/>
      <c r="C15" s="17" t="n"/>
      <c r="D15" s="17" t="n"/>
      <c r="E15" s="17" t="n"/>
      <c r="F15" s="17" t="n"/>
      <c r="G15" s="18" t="n"/>
    </row>
    <row r="16">
      <c r="A16" s="14">
        <f>IF(Questions!A15="","",Questions!A15)</f>
        <v/>
      </c>
      <c r="B16" s="17" t="n"/>
      <c r="C16" s="17" t="n"/>
      <c r="D16" s="17" t="n"/>
      <c r="E16" s="17" t="n"/>
      <c r="F16" s="17" t="n"/>
      <c r="G16" s="18" t="n"/>
    </row>
    <row r="17">
      <c r="A17" s="14">
        <f>IF(Questions!A16="","",Questions!A16)</f>
        <v/>
      </c>
      <c r="B17" s="17" t="n"/>
      <c r="C17" s="17" t="n"/>
      <c r="D17" s="17" t="n"/>
      <c r="E17" s="17" t="n"/>
      <c r="F17" s="17" t="n"/>
      <c r="G17" s="18" t="n"/>
    </row>
    <row r="18">
      <c r="A18" s="14">
        <f>IF(Questions!A17="","",Questions!A17)</f>
        <v/>
      </c>
      <c r="B18" s="17" t="n"/>
      <c r="C18" s="17" t="n"/>
      <c r="D18" s="17" t="n"/>
      <c r="E18" s="17" t="n"/>
      <c r="F18" s="17" t="n"/>
      <c r="G18" s="18" t="n"/>
    </row>
    <row r="19">
      <c r="A19" s="14">
        <f>IF(Questions!A18="","",Questions!A18)</f>
        <v/>
      </c>
      <c r="B19" s="17" t="n"/>
      <c r="C19" s="17" t="n"/>
      <c r="D19" s="17" t="n"/>
      <c r="E19" s="17" t="n"/>
      <c r="F19" s="17" t="n"/>
      <c r="G19" s="18" t="n"/>
    </row>
    <row r="20">
      <c r="A20" s="14">
        <f>IF(Questions!A19="","",Questions!A19)</f>
        <v/>
      </c>
      <c r="B20" s="17" t="n"/>
      <c r="C20" s="17" t="n"/>
      <c r="D20" s="17" t="n"/>
      <c r="E20" s="17" t="n"/>
      <c r="F20" s="17" t="n"/>
      <c r="G20" s="18" t="n"/>
    </row>
    <row r="21">
      <c r="A21" s="14">
        <f>IF(Questions!A20="","",Questions!A20)</f>
        <v/>
      </c>
      <c r="B21" s="17" t="n"/>
      <c r="C21" s="17" t="n"/>
      <c r="D21" s="17" t="n"/>
      <c r="E21" s="17" t="n"/>
      <c r="F21" s="17" t="n"/>
      <c r="G21" s="18" t="n"/>
    </row>
    <row r="22">
      <c r="A22" s="14">
        <f>IF(Questions!A21="","",Questions!A21)</f>
        <v/>
      </c>
      <c r="B22" s="17" t="n"/>
      <c r="C22" s="17" t="n"/>
      <c r="D22" s="17" t="n"/>
      <c r="E22" s="17" t="n"/>
      <c r="F22" s="17" t="n"/>
      <c r="G22" s="18" t="n"/>
    </row>
    <row r="23">
      <c r="A23" s="14">
        <f>IF(Questions!A22="","",Questions!A22)</f>
        <v/>
      </c>
      <c r="B23" s="17" t="n"/>
      <c r="C23" s="17" t="n"/>
      <c r="D23" s="17" t="n"/>
      <c r="E23" s="17" t="n"/>
      <c r="F23" s="17" t="n"/>
      <c r="G23" s="18" t="n"/>
    </row>
    <row r="24">
      <c r="A24" s="14">
        <f>IF(Questions!A23="","",Questions!A23)</f>
        <v/>
      </c>
      <c r="B24" s="17" t="n"/>
      <c r="C24" s="17" t="n"/>
      <c r="D24" s="17" t="n"/>
      <c r="E24" s="17" t="n"/>
      <c r="F24" s="17" t="n"/>
      <c r="G24" s="18" t="n"/>
    </row>
    <row r="25">
      <c r="A25" s="14">
        <f>IF(Questions!A24="","",Questions!A24)</f>
        <v/>
      </c>
      <c r="B25" s="17" t="n"/>
      <c r="C25" s="17" t="n"/>
      <c r="D25" s="17" t="n"/>
      <c r="E25" s="17" t="n"/>
      <c r="F25" s="17" t="n"/>
      <c r="G25" s="18" t="n"/>
    </row>
    <row r="26">
      <c r="A26" s="14">
        <f>IF(Questions!A25="","",Questions!A25)</f>
        <v/>
      </c>
      <c r="B26" s="17" t="n"/>
      <c r="C26" s="17" t="n"/>
      <c r="D26" s="17" t="n"/>
      <c r="E26" s="17" t="n"/>
      <c r="F26" s="17" t="n"/>
      <c r="G26" s="18" t="n"/>
    </row>
    <row r="27">
      <c r="A27" s="14">
        <f>IF(Questions!A26="","",Questions!A26)</f>
        <v/>
      </c>
      <c r="B27" s="17" t="n"/>
      <c r="C27" s="17" t="n"/>
      <c r="D27" s="17" t="n"/>
      <c r="E27" s="17" t="n"/>
      <c r="F27" s="17" t="n"/>
      <c r="G27" s="18" t="n"/>
    </row>
    <row r="28">
      <c r="A28" s="14">
        <f>IF(Questions!A27="","",Questions!A27)</f>
        <v/>
      </c>
      <c r="B28" s="17" t="n"/>
      <c r="C28" s="17" t="n"/>
      <c r="D28" s="17" t="n"/>
      <c r="E28" s="17" t="n"/>
      <c r="F28" s="17" t="n"/>
      <c r="G28" s="18" t="n"/>
    </row>
    <row r="29">
      <c r="A29" s="14">
        <f>IF(Questions!A28="","",Questions!A28)</f>
        <v/>
      </c>
      <c r="B29" s="17" t="n"/>
      <c r="C29" s="17" t="n"/>
      <c r="D29" s="17" t="n"/>
      <c r="E29" s="17" t="n"/>
      <c r="F29" s="17" t="n"/>
      <c r="G29" s="18" t="n"/>
    </row>
    <row r="30">
      <c r="A30" s="14">
        <f>IF(Questions!A29="","",Questions!A29)</f>
        <v/>
      </c>
      <c r="B30" s="17" t="n"/>
      <c r="C30" s="17" t="n"/>
      <c r="D30" s="17" t="n"/>
      <c r="E30" s="17" t="n"/>
      <c r="F30" s="17" t="n"/>
      <c r="G30" s="18" t="n"/>
    </row>
    <row r="31">
      <c r="A31" s="14">
        <f>IF(Questions!A30="","",Questions!A30)</f>
        <v/>
      </c>
      <c r="B31" s="17" t="n"/>
      <c r="C31" s="17" t="n"/>
      <c r="D31" s="17" t="n"/>
      <c r="E31" s="17" t="n"/>
      <c r="F31" s="17" t="n"/>
      <c r="G31" s="18" t="n"/>
    </row>
    <row r="32">
      <c r="A32" s="14">
        <f>IF(Questions!A31="","",Questions!A31)</f>
        <v/>
      </c>
      <c r="B32" s="17" t="n"/>
      <c r="C32" s="17" t="n"/>
      <c r="D32" s="17" t="n"/>
      <c r="E32" s="17" t="n"/>
      <c r="F32" s="17" t="n"/>
      <c r="G32" s="18" t="n"/>
    </row>
    <row r="33">
      <c r="A33" s="14">
        <f>IF(Questions!A32="","",Questions!A32)</f>
        <v/>
      </c>
      <c r="B33" s="17" t="n"/>
      <c r="C33" s="17" t="n"/>
      <c r="D33" s="17" t="n"/>
      <c r="E33" s="17" t="n"/>
      <c r="F33" s="17" t="n"/>
      <c r="G33" s="18" t="n"/>
    </row>
    <row r="34">
      <c r="A34" s="14">
        <f>IF(Questions!A33="","",Questions!A33)</f>
        <v/>
      </c>
      <c r="B34" s="17" t="n"/>
      <c r="C34" s="17" t="n"/>
      <c r="D34" s="17" t="n"/>
      <c r="E34" s="17" t="n"/>
      <c r="F34" s="17" t="n"/>
      <c r="G34" s="18" t="n"/>
    </row>
    <row r="35">
      <c r="A35" s="14">
        <f>IF(Questions!A34="","",Questions!A34)</f>
        <v/>
      </c>
      <c r="B35" s="17" t="n"/>
      <c r="C35" s="17" t="n"/>
      <c r="D35" s="17" t="n"/>
      <c r="E35" s="17" t="n"/>
      <c r="F35" s="17" t="n"/>
      <c r="G35" s="18" t="n"/>
    </row>
    <row r="36">
      <c r="A36" s="14">
        <f>IF(Questions!A35="","",Questions!A35)</f>
        <v/>
      </c>
      <c r="B36" s="17" t="n"/>
      <c r="C36" s="17" t="n"/>
      <c r="D36" s="17" t="n"/>
      <c r="E36" s="17" t="n"/>
      <c r="F36" s="17" t="n"/>
      <c r="G36" s="18" t="n"/>
    </row>
    <row r="37">
      <c r="A37" s="14">
        <f>IF(Questions!A36="","",Questions!A36)</f>
        <v/>
      </c>
      <c r="B37" s="17" t="n"/>
      <c r="C37" s="17" t="n"/>
      <c r="D37" s="17" t="n"/>
      <c r="E37" s="17" t="n"/>
      <c r="F37" s="17" t="n"/>
      <c r="G37" s="18" t="n"/>
    </row>
    <row r="38">
      <c r="A38" s="14">
        <f>IF(Questions!A37="","",Questions!A37)</f>
        <v/>
      </c>
      <c r="B38" s="17" t="n"/>
      <c r="C38" s="17" t="n"/>
      <c r="D38" s="17" t="n"/>
      <c r="E38" s="17" t="n"/>
      <c r="F38" s="17" t="n"/>
      <c r="G38" s="18" t="n"/>
    </row>
    <row r="39">
      <c r="A39" s="14">
        <f>IF(Questions!A38="","",Questions!A38)</f>
        <v/>
      </c>
      <c r="B39" s="17" t="n"/>
      <c r="C39" s="17" t="n"/>
      <c r="D39" s="17" t="n"/>
      <c r="E39" s="17" t="n"/>
      <c r="F39" s="17" t="n"/>
      <c r="G39" s="18" t="n"/>
    </row>
    <row r="40">
      <c r="A40" s="14">
        <f>IF(Questions!A39="","",Questions!A39)</f>
        <v/>
      </c>
      <c r="B40" s="17" t="n"/>
      <c r="C40" s="17" t="n"/>
      <c r="D40" s="17" t="n"/>
      <c r="E40" s="17" t="n"/>
      <c r="F40" s="17" t="n"/>
      <c r="G40" s="18" t="n"/>
    </row>
    <row r="41">
      <c r="A41" s="14">
        <f>IF(Questions!A40="","",Questions!A40)</f>
        <v/>
      </c>
      <c r="B41" s="17" t="n"/>
      <c r="C41" s="17" t="n"/>
      <c r="D41" s="17" t="n"/>
      <c r="E41" s="17" t="n"/>
      <c r="F41" s="17" t="n"/>
      <c r="G41" s="18" t="n"/>
    </row>
    <row r="42">
      <c r="A42" s="14">
        <f>IF(Questions!A41="","",Questions!A41)</f>
        <v/>
      </c>
      <c r="B42" s="17" t="n"/>
      <c r="C42" s="17" t="n"/>
      <c r="D42" s="17" t="n"/>
      <c r="E42" s="17" t="n"/>
      <c r="F42" s="17" t="n"/>
      <c r="G42" s="18" t="n"/>
    </row>
    <row r="43">
      <c r="A43" s="14">
        <f>IF(Questions!A42="","",Questions!A42)</f>
        <v/>
      </c>
      <c r="B43" s="17" t="n"/>
      <c r="C43" s="17" t="n"/>
      <c r="D43" s="17" t="n"/>
      <c r="E43" s="17" t="n"/>
      <c r="F43" s="17" t="n"/>
      <c r="G43" s="18" t="n"/>
    </row>
    <row r="44">
      <c r="A44" s="14">
        <f>IF(Questions!A43="","",Questions!A43)</f>
        <v/>
      </c>
      <c r="B44" s="17" t="n"/>
      <c r="C44" s="17" t="n"/>
      <c r="D44" s="17" t="n"/>
      <c r="E44" s="17" t="n"/>
      <c r="F44" s="17" t="n"/>
      <c r="G44" s="18" t="n"/>
    </row>
    <row r="45">
      <c r="A45" s="14">
        <f>IF(Questions!A44="","",Questions!A44)</f>
        <v/>
      </c>
      <c r="B45" s="17" t="n"/>
      <c r="C45" s="17" t="n"/>
      <c r="D45" s="17" t="n"/>
      <c r="E45" s="17" t="n"/>
      <c r="F45" s="17" t="n"/>
      <c r="G45" s="18" t="n"/>
    </row>
    <row r="46">
      <c r="A46" s="14">
        <f>IF(Questions!A45="","",Questions!A45)</f>
        <v/>
      </c>
      <c r="B46" s="17" t="n"/>
      <c r="C46" s="17" t="n"/>
      <c r="D46" s="17" t="n"/>
      <c r="E46" s="17" t="n"/>
      <c r="F46" s="17" t="n"/>
      <c r="G46" s="18" t="n"/>
    </row>
    <row r="47">
      <c r="A47" s="14">
        <f>IF(Questions!A46="","",Questions!A46)</f>
        <v/>
      </c>
      <c r="B47" s="17" t="n"/>
      <c r="C47" s="17" t="n"/>
      <c r="D47" s="17" t="n"/>
      <c r="E47" s="17" t="n"/>
      <c r="F47" s="17" t="n"/>
      <c r="G47" s="18" t="n"/>
    </row>
    <row r="48">
      <c r="A48" s="14">
        <f>IF(Questions!A47="","",Questions!A47)</f>
        <v/>
      </c>
      <c r="B48" s="17" t="n"/>
      <c r="C48" s="17" t="n"/>
      <c r="D48" s="17" t="n"/>
      <c r="E48" s="17" t="n"/>
      <c r="F48" s="17" t="n"/>
      <c r="G48" s="18" t="n"/>
    </row>
    <row r="49">
      <c r="A49" s="14">
        <f>IF(Questions!A48="","",Questions!A48)</f>
        <v/>
      </c>
      <c r="B49" s="17" t="n"/>
      <c r="C49" s="17" t="n"/>
      <c r="D49" s="17" t="n"/>
      <c r="E49" s="17" t="n"/>
      <c r="F49" s="17" t="n"/>
      <c r="G49" s="18" t="n"/>
    </row>
    <row r="50">
      <c r="A50" s="14">
        <f>IF(Questions!A49="","",Questions!A49)</f>
        <v/>
      </c>
      <c r="B50" s="17" t="n"/>
      <c r="C50" s="17" t="n"/>
      <c r="D50" s="17" t="n"/>
      <c r="E50" s="17" t="n"/>
      <c r="F50" s="17" t="n"/>
      <c r="G50" s="18" t="n"/>
    </row>
    <row r="51">
      <c r="A51" s="14">
        <f>IF(Questions!A50="","",Questions!A50)</f>
        <v/>
      </c>
      <c r="B51" s="17" t="n"/>
      <c r="C51" s="17" t="n"/>
      <c r="D51" s="17" t="n"/>
      <c r="E51" s="17" t="n"/>
      <c r="F51" s="17" t="n"/>
      <c r="G51" s="18" t="n"/>
    </row>
    <row r="52">
      <c r="A52" s="14">
        <f>IF(Questions!A51="","",Questions!A51)</f>
        <v/>
      </c>
      <c r="B52" s="17" t="n"/>
      <c r="C52" s="17" t="n"/>
      <c r="D52" s="17" t="n"/>
      <c r="E52" s="17" t="n"/>
      <c r="F52" s="17" t="n"/>
      <c r="G52" s="18" t="n"/>
    </row>
    <row r="53">
      <c r="A53" s="14">
        <f>IF(Questions!A52="","",Questions!A52)</f>
        <v/>
      </c>
      <c r="B53" s="17" t="n"/>
      <c r="C53" s="17" t="n"/>
      <c r="D53" s="17" t="n"/>
      <c r="E53" s="17" t="n"/>
      <c r="F53" s="17" t="n"/>
      <c r="G53" s="18" t="n"/>
    </row>
    <row r="54">
      <c r="A54" s="14">
        <f>IF(Questions!A53="","",Questions!A53)</f>
        <v/>
      </c>
      <c r="B54" s="17" t="n"/>
      <c r="C54" s="17" t="n"/>
      <c r="D54" s="17" t="n"/>
      <c r="E54" s="17" t="n"/>
      <c r="F54" s="17" t="n"/>
      <c r="G54" s="18" t="n"/>
    </row>
    <row r="55">
      <c r="A55" s="14">
        <f>IF(Questions!A54="","",Questions!A54)</f>
        <v/>
      </c>
      <c r="B55" s="17" t="n"/>
      <c r="C55" s="17" t="n"/>
      <c r="D55" s="17" t="n"/>
      <c r="E55" s="17" t="n"/>
      <c r="F55" s="17" t="n"/>
      <c r="G55" s="18" t="n"/>
    </row>
    <row r="56">
      <c r="A56" s="14">
        <f>IF(Questions!A55="","",Questions!A55)</f>
        <v/>
      </c>
      <c r="B56" s="17" t="n"/>
      <c r="C56" s="17" t="n"/>
      <c r="D56" s="17" t="n"/>
      <c r="E56" s="17" t="n"/>
      <c r="F56" s="17" t="n"/>
      <c r="G56" s="18" t="n"/>
    </row>
    <row r="57">
      <c r="A57" s="14">
        <f>IF(Questions!A56="","",Questions!A56)</f>
        <v/>
      </c>
      <c r="B57" s="17" t="n"/>
      <c r="C57" s="17" t="n"/>
      <c r="D57" s="17" t="n"/>
      <c r="E57" s="17" t="n"/>
      <c r="F57" s="17" t="n"/>
      <c r="G57" s="18" t="n"/>
    </row>
    <row r="58">
      <c r="A58" s="14">
        <f>IF(Questions!A57="","",Questions!A57)</f>
        <v/>
      </c>
      <c r="B58" s="17" t="n"/>
      <c r="C58" s="17" t="n"/>
      <c r="D58" s="17" t="n"/>
      <c r="E58" s="17" t="n"/>
      <c r="F58" s="17" t="n"/>
      <c r="G58" s="18" t="n"/>
    </row>
    <row r="59">
      <c r="A59" s="14">
        <f>IF(Questions!A58="","",Questions!A58)</f>
        <v/>
      </c>
      <c r="B59" s="17" t="n"/>
      <c r="C59" s="17" t="n"/>
      <c r="D59" s="17" t="n"/>
      <c r="E59" s="17" t="n"/>
      <c r="F59" s="17" t="n"/>
      <c r="G59" s="18" t="n"/>
    </row>
    <row r="60">
      <c r="A60" s="14">
        <f>IF(Questions!A59="","",Questions!A59)</f>
        <v/>
      </c>
      <c r="B60" s="17" t="n"/>
      <c r="C60" s="17" t="n"/>
      <c r="D60" s="17" t="n"/>
      <c r="E60" s="17" t="n"/>
      <c r="F60" s="17" t="n"/>
      <c r="G60" s="18" t="n"/>
    </row>
    <row r="61">
      <c r="A61" s="14">
        <f>IF(Questions!A60="","",Questions!A60)</f>
        <v/>
      </c>
      <c r="B61" s="17" t="n"/>
      <c r="C61" s="17" t="n"/>
      <c r="D61" s="17" t="n"/>
      <c r="E61" s="17" t="n"/>
      <c r="F61" s="17" t="n"/>
      <c r="G61" s="18" t="n"/>
    </row>
    <row r="62">
      <c r="A62" s="14">
        <f>IF(Questions!A61="","",Questions!A61)</f>
        <v/>
      </c>
      <c r="B62" s="17" t="n"/>
      <c r="C62" s="17" t="n"/>
      <c r="D62" s="17" t="n"/>
      <c r="E62" s="17" t="n"/>
      <c r="F62" s="17" t="n"/>
      <c r="G62" s="18" t="n"/>
    </row>
  </sheetData>
  <mergeCells count="1">
    <mergeCell ref="A1:G1"/>
  </mergeCells>
  <dataValidations count="2">
    <dataValidation sqref="B3:B62" showDropDown="0" showInputMessage="0" showErrorMessage="0" allowBlank="1" error="Choose easy, medium or hard." type="list">
      <formula1>"easy,medium,hard"</formula1>
    </dataValidation>
    <dataValidation sqref="C3:F62" showDropDown="0" showInputMessage="0" showErrorMessage="0" allowBlank="1" error="Score from 1 (poor) to 5 (excellent)." type="list">
      <formula1>"1,2,3,4,5"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0" customWidth="1" min="3" max="3"/>
    <col width="14" customWidth="1" min="4" max="4"/>
    <col width="12" customWidth="1" min="5" max="5"/>
    <col width="11" customWidth="1" min="6" max="6"/>
    <col width="60" customWidth="1" min="7" max="7"/>
  </cols>
  <sheetData>
    <row r="1">
      <c r="A1" s="13" t="inlineStr">
        <is>
          <t>RATER 2 — fill the yellow cells only. Do not open System_Key until everyone has finished.</t>
        </is>
      </c>
    </row>
    <row r="2" ht="24" customHeight="1">
      <c r="A2" s="10" t="inlineStr">
        <is>
          <t>question_id</t>
        </is>
      </c>
      <c r="B2" s="10" t="inlineStr">
        <is>
          <t>difficulty</t>
        </is>
      </c>
      <c r="C2" s="10" t="inlineStr">
        <is>
          <t>clarity</t>
        </is>
      </c>
      <c r="D2" s="10" t="inlineStr">
        <is>
          <t>groundedness</t>
        </is>
      </c>
      <c r="E2" s="10" t="inlineStr">
        <is>
          <t>solvability</t>
        </is>
      </c>
      <c r="F2" s="10" t="inlineStr">
        <is>
          <t>would_use</t>
        </is>
      </c>
      <c r="G2" s="10" t="inlineStr">
        <is>
          <t>comments</t>
        </is>
      </c>
    </row>
    <row r="3">
      <c r="A3" s="14">
        <f>IF(Questions!A2="","",Questions!A2)</f>
        <v/>
      </c>
      <c r="B3" s="17" t="n"/>
      <c r="C3" s="17" t="n"/>
      <c r="D3" s="17" t="n"/>
      <c r="E3" s="17" t="n"/>
      <c r="F3" s="17" t="n"/>
      <c r="G3" s="18" t="n"/>
    </row>
    <row r="4">
      <c r="A4" s="14">
        <f>IF(Questions!A3="","",Questions!A3)</f>
        <v/>
      </c>
      <c r="B4" s="17" t="n"/>
      <c r="C4" s="17" t="n"/>
      <c r="D4" s="17" t="n"/>
      <c r="E4" s="17" t="n"/>
      <c r="F4" s="17" t="n"/>
      <c r="G4" s="18" t="n"/>
    </row>
    <row r="5">
      <c r="A5" s="14">
        <f>IF(Questions!A4="","",Questions!A4)</f>
        <v/>
      </c>
      <c r="B5" s="17" t="n"/>
      <c r="C5" s="17" t="n"/>
      <c r="D5" s="17" t="n"/>
      <c r="E5" s="17" t="n"/>
      <c r="F5" s="17" t="n"/>
      <c r="G5" s="18" t="n"/>
    </row>
    <row r="6">
      <c r="A6" s="14">
        <f>IF(Questions!A5="","",Questions!A5)</f>
        <v/>
      </c>
      <c r="B6" s="17" t="n"/>
      <c r="C6" s="17" t="n"/>
      <c r="D6" s="17" t="n"/>
      <c r="E6" s="17" t="n"/>
      <c r="F6" s="17" t="n"/>
      <c r="G6" s="18" t="n"/>
    </row>
    <row r="7">
      <c r="A7" s="14">
        <f>IF(Questions!A6="","",Questions!A6)</f>
        <v/>
      </c>
      <c r="B7" s="17" t="n"/>
      <c r="C7" s="17" t="n"/>
      <c r="D7" s="17" t="n"/>
      <c r="E7" s="17" t="n"/>
      <c r="F7" s="17" t="n"/>
      <c r="G7" s="18" t="n"/>
    </row>
    <row r="8">
      <c r="A8" s="14">
        <f>IF(Questions!A7="","",Questions!A7)</f>
        <v/>
      </c>
      <c r="B8" s="17" t="n"/>
      <c r="C8" s="17" t="n"/>
      <c r="D8" s="17" t="n"/>
      <c r="E8" s="17" t="n"/>
      <c r="F8" s="17" t="n"/>
      <c r="G8" s="18" t="n"/>
    </row>
    <row r="9">
      <c r="A9" s="14">
        <f>IF(Questions!A8="","",Questions!A8)</f>
        <v/>
      </c>
      <c r="B9" s="17" t="n"/>
      <c r="C9" s="17" t="n"/>
      <c r="D9" s="17" t="n"/>
      <c r="E9" s="17" t="n"/>
      <c r="F9" s="17" t="n"/>
      <c r="G9" s="18" t="n"/>
    </row>
    <row r="10">
      <c r="A10" s="14">
        <f>IF(Questions!A9="","",Questions!A9)</f>
        <v/>
      </c>
      <c r="B10" s="17" t="n"/>
      <c r="C10" s="17" t="n"/>
      <c r="D10" s="17" t="n"/>
      <c r="E10" s="17" t="n"/>
      <c r="F10" s="17" t="n"/>
      <c r="G10" s="18" t="n"/>
    </row>
    <row r="11">
      <c r="A11" s="14">
        <f>IF(Questions!A10="","",Questions!A10)</f>
        <v/>
      </c>
      <c r="B11" s="17" t="n"/>
      <c r="C11" s="17" t="n"/>
      <c r="D11" s="17" t="n"/>
      <c r="E11" s="17" t="n"/>
      <c r="F11" s="17" t="n"/>
      <c r="G11" s="18" t="n"/>
    </row>
    <row r="12">
      <c r="A12" s="14">
        <f>IF(Questions!A11="","",Questions!A11)</f>
        <v/>
      </c>
      <c r="B12" s="17" t="n"/>
      <c r="C12" s="17" t="n"/>
      <c r="D12" s="17" t="n"/>
      <c r="E12" s="17" t="n"/>
      <c r="F12" s="17" t="n"/>
      <c r="G12" s="18" t="n"/>
    </row>
    <row r="13">
      <c r="A13" s="14">
        <f>IF(Questions!A12="","",Questions!A12)</f>
        <v/>
      </c>
      <c r="B13" s="17" t="n"/>
      <c r="C13" s="17" t="n"/>
      <c r="D13" s="17" t="n"/>
      <c r="E13" s="17" t="n"/>
      <c r="F13" s="17" t="n"/>
      <c r="G13" s="18" t="n"/>
    </row>
    <row r="14">
      <c r="A14" s="14">
        <f>IF(Questions!A13="","",Questions!A13)</f>
        <v/>
      </c>
      <c r="B14" s="17" t="n"/>
      <c r="C14" s="17" t="n"/>
      <c r="D14" s="17" t="n"/>
      <c r="E14" s="17" t="n"/>
      <c r="F14" s="17" t="n"/>
      <c r="G14" s="18" t="n"/>
    </row>
    <row r="15">
      <c r="A15" s="14">
        <f>IF(Questions!A14="","",Questions!A14)</f>
        <v/>
      </c>
      <c r="B15" s="17" t="n"/>
      <c r="C15" s="17" t="n"/>
      <c r="D15" s="17" t="n"/>
      <c r="E15" s="17" t="n"/>
      <c r="F15" s="17" t="n"/>
      <c r="G15" s="18" t="n"/>
    </row>
    <row r="16">
      <c r="A16" s="14">
        <f>IF(Questions!A15="","",Questions!A15)</f>
        <v/>
      </c>
      <c r="B16" s="17" t="n"/>
      <c r="C16" s="17" t="n"/>
      <c r="D16" s="17" t="n"/>
      <c r="E16" s="17" t="n"/>
      <c r="F16" s="17" t="n"/>
      <c r="G16" s="18" t="n"/>
    </row>
    <row r="17">
      <c r="A17" s="14">
        <f>IF(Questions!A16="","",Questions!A16)</f>
        <v/>
      </c>
      <c r="B17" s="17" t="n"/>
      <c r="C17" s="17" t="n"/>
      <c r="D17" s="17" t="n"/>
      <c r="E17" s="17" t="n"/>
      <c r="F17" s="17" t="n"/>
      <c r="G17" s="18" t="n"/>
    </row>
    <row r="18">
      <c r="A18" s="14">
        <f>IF(Questions!A17="","",Questions!A17)</f>
        <v/>
      </c>
      <c r="B18" s="17" t="n"/>
      <c r="C18" s="17" t="n"/>
      <c r="D18" s="17" t="n"/>
      <c r="E18" s="17" t="n"/>
      <c r="F18" s="17" t="n"/>
      <c r="G18" s="18" t="n"/>
    </row>
    <row r="19">
      <c r="A19" s="14">
        <f>IF(Questions!A18="","",Questions!A18)</f>
        <v/>
      </c>
      <c r="B19" s="17" t="n"/>
      <c r="C19" s="17" t="n"/>
      <c r="D19" s="17" t="n"/>
      <c r="E19" s="17" t="n"/>
      <c r="F19" s="17" t="n"/>
      <c r="G19" s="18" t="n"/>
    </row>
    <row r="20">
      <c r="A20" s="14">
        <f>IF(Questions!A19="","",Questions!A19)</f>
        <v/>
      </c>
      <c r="B20" s="17" t="n"/>
      <c r="C20" s="17" t="n"/>
      <c r="D20" s="17" t="n"/>
      <c r="E20" s="17" t="n"/>
      <c r="F20" s="17" t="n"/>
      <c r="G20" s="18" t="n"/>
    </row>
    <row r="21">
      <c r="A21" s="14">
        <f>IF(Questions!A20="","",Questions!A20)</f>
        <v/>
      </c>
      <c r="B21" s="17" t="n"/>
      <c r="C21" s="17" t="n"/>
      <c r="D21" s="17" t="n"/>
      <c r="E21" s="17" t="n"/>
      <c r="F21" s="17" t="n"/>
      <c r="G21" s="18" t="n"/>
    </row>
    <row r="22">
      <c r="A22" s="14">
        <f>IF(Questions!A21="","",Questions!A21)</f>
        <v/>
      </c>
      <c r="B22" s="17" t="n"/>
      <c r="C22" s="17" t="n"/>
      <c r="D22" s="17" t="n"/>
      <c r="E22" s="17" t="n"/>
      <c r="F22" s="17" t="n"/>
      <c r="G22" s="18" t="n"/>
    </row>
    <row r="23">
      <c r="A23" s="14">
        <f>IF(Questions!A22="","",Questions!A22)</f>
        <v/>
      </c>
      <c r="B23" s="17" t="n"/>
      <c r="C23" s="17" t="n"/>
      <c r="D23" s="17" t="n"/>
      <c r="E23" s="17" t="n"/>
      <c r="F23" s="17" t="n"/>
      <c r="G23" s="18" t="n"/>
    </row>
    <row r="24">
      <c r="A24" s="14">
        <f>IF(Questions!A23="","",Questions!A23)</f>
        <v/>
      </c>
      <c r="B24" s="17" t="n"/>
      <c r="C24" s="17" t="n"/>
      <c r="D24" s="17" t="n"/>
      <c r="E24" s="17" t="n"/>
      <c r="F24" s="17" t="n"/>
      <c r="G24" s="18" t="n"/>
    </row>
    <row r="25">
      <c r="A25" s="14">
        <f>IF(Questions!A24="","",Questions!A24)</f>
        <v/>
      </c>
      <c r="B25" s="17" t="n"/>
      <c r="C25" s="17" t="n"/>
      <c r="D25" s="17" t="n"/>
      <c r="E25" s="17" t="n"/>
      <c r="F25" s="17" t="n"/>
      <c r="G25" s="18" t="n"/>
    </row>
    <row r="26">
      <c r="A26" s="14">
        <f>IF(Questions!A25="","",Questions!A25)</f>
        <v/>
      </c>
      <c r="B26" s="17" t="n"/>
      <c r="C26" s="17" t="n"/>
      <c r="D26" s="17" t="n"/>
      <c r="E26" s="17" t="n"/>
      <c r="F26" s="17" t="n"/>
      <c r="G26" s="18" t="n"/>
    </row>
    <row r="27">
      <c r="A27" s="14">
        <f>IF(Questions!A26="","",Questions!A26)</f>
        <v/>
      </c>
      <c r="B27" s="17" t="n"/>
      <c r="C27" s="17" t="n"/>
      <c r="D27" s="17" t="n"/>
      <c r="E27" s="17" t="n"/>
      <c r="F27" s="17" t="n"/>
      <c r="G27" s="18" t="n"/>
    </row>
    <row r="28">
      <c r="A28" s="14">
        <f>IF(Questions!A27="","",Questions!A27)</f>
        <v/>
      </c>
      <c r="B28" s="17" t="n"/>
      <c r="C28" s="17" t="n"/>
      <c r="D28" s="17" t="n"/>
      <c r="E28" s="17" t="n"/>
      <c r="F28" s="17" t="n"/>
      <c r="G28" s="18" t="n"/>
    </row>
    <row r="29">
      <c r="A29" s="14">
        <f>IF(Questions!A28="","",Questions!A28)</f>
        <v/>
      </c>
      <c r="B29" s="17" t="n"/>
      <c r="C29" s="17" t="n"/>
      <c r="D29" s="17" t="n"/>
      <c r="E29" s="17" t="n"/>
      <c r="F29" s="17" t="n"/>
      <c r="G29" s="18" t="n"/>
    </row>
    <row r="30">
      <c r="A30" s="14">
        <f>IF(Questions!A29="","",Questions!A29)</f>
        <v/>
      </c>
      <c r="B30" s="17" t="n"/>
      <c r="C30" s="17" t="n"/>
      <c r="D30" s="17" t="n"/>
      <c r="E30" s="17" t="n"/>
      <c r="F30" s="17" t="n"/>
      <c r="G30" s="18" t="n"/>
    </row>
    <row r="31">
      <c r="A31" s="14">
        <f>IF(Questions!A30="","",Questions!A30)</f>
        <v/>
      </c>
      <c r="B31" s="17" t="n"/>
      <c r="C31" s="17" t="n"/>
      <c r="D31" s="17" t="n"/>
      <c r="E31" s="17" t="n"/>
      <c r="F31" s="17" t="n"/>
      <c r="G31" s="18" t="n"/>
    </row>
    <row r="32">
      <c r="A32" s="14">
        <f>IF(Questions!A31="","",Questions!A31)</f>
        <v/>
      </c>
      <c r="B32" s="17" t="n"/>
      <c r="C32" s="17" t="n"/>
      <c r="D32" s="17" t="n"/>
      <c r="E32" s="17" t="n"/>
      <c r="F32" s="17" t="n"/>
      <c r="G32" s="18" t="n"/>
    </row>
    <row r="33">
      <c r="A33" s="14">
        <f>IF(Questions!A32="","",Questions!A32)</f>
        <v/>
      </c>
      <c r="B33" s="17" t="n"/>
      <c r="C33" s="17" t="n"/>
      <c r="D33" s="17" t="n"/>
      <c r="E33" s="17" t="n"/>
      <c r="F33" s="17" t="n"/>
      <c r="G33" s="18" t="n"/>
    </row>
    <row r="34">
      <c r="A34" s="14">
        <f>IF(Questions!A33="","",Questions!A33)</f>
        <v/>
      </c>
      <c r="B34" s="17" t="n"/>
      <c r="C34" s="17" t="n"/>
      <c r="D34" s="17" t="n"/>
      <c r="E34" s="17" t="n"/>
      <c r="F34" s="17" t="n"/>
      <c r="G34" s="18" t="n"/>
    </row>
    <row r="35">
      <c r="A35" s="14">
        <f>IF(Questions!A34="","",Questions!A34)</f>
        <v/>
      </c>
      <c r="B35" s="17" t="n"/>
      <c r="C35" s="17" t="n"/>
      <c r="D35" s="17" t="n"/>
      <c r="E35" s="17" t="n"/>
      <c r="F35" s="17" t="n"/>
      <c r="G35" s="18" t="n"/>
    </row>
    <row r="36">
      <c r="A36" s="14">
        <f>IF(Questions!A35="","",Questions!A35)</f>
        <v/>
      </c>
      <c r="B36" s="17" t="n"/>
      <c r="C36" s="17" t="n"/>
      <c r="D36" s="17" t="n"/>
      <c r="E36" s="17" t="n"/>
      <c r="F36" s="17" t="n"/>
      <c r="G36" s="18" t="n"/>
    </row>
    <row r="37">
      <c r="A37" s="14">
        <f>IF(Questions!A36="","",Questions!A36)</f>
        <v/>
      </c>
      <c r="B37" s="17" t="n"/>
      <c r="C37" s="17" t="n"/>
      <c r="D37" s="17" t="n"/>
      <c r="E37" s="17" t="n"/>
      <c r="F37" s="17" t="n"/>
      <c r="G37" s="18" t="n"/>
    </row>
    <row r="38">
      <c r="A38" s="14">
        <f>IF(Questions!A37="","",Questions!A37)</f>
        <v/>
      </c>
      <c r="B38" s="17" t="n"/>
      <c r="C38" s="17" t="n"/>
      <c r="D38" s="17" t="n"/>
      <c r="E38" s="17" t="n"/>
      <c r="F38" s="17" t="n"/>
      <c r="G38" s="18" t="n"/>
    </row>
    <row r="39">
      <c r="A39" s="14">
        <f>IF(Questions!A38="","",Questions!A38)</f>
        <v/>
      </c>
      <c r="B39" s="17" t="n"/>
      <c r="C39" s="17" t="n"/>
      <c r="D39" s="17" t="n"/>
      <c r="E39" s="17" t="n"/>
      <c r="F39" s="17" t="n"/>
      <c r="G39" s="18" t="n"/>
    </row>
    <row r="40">
      <c r="A40" s="14">
        <f>IF(Questions!A39="","",Questions!A39)</f>
        <v/>
      </c>
      <c r="B40" s="17" t="n"/>
      <c r="C40" s="17" t="n"/>
      <c r="D40" s="17" t="n"/>
      <c r="E40" s="17" t="n"/>
      <c r="F40" s="17" t="n"/>
      <c r="G40" s="18" t="n"/>
    </row>
    <row r="41">
      <c r="A41" s="14">
        <f>IF(Questions!A40="","",Questions!A40)</f>
        <v/>
      </c>
      <c r="B41" s="17" t="n"/>
      <c r="C41" s="17" t="n"/>
      <c r="D41" s="17" t="n"/>
      <c r="E41" s="17" t="n"/>
      <c r="F41" s="17" t="n"/>
      <c r="G41" s="18" t="n"/>
    </row>
    <row r="42">
      <c r="A42" s="14">
        <f>IF(Questions!A41="","",Questions!A41)</f>
        <v/>
      </c>
      <c r="B42" s="17" t="n"/>
      <c r="C42" s="17" t="n"/>
      <c r="D42" s="17" t="n"/>
      <c r="E42" s="17" t="n"/>
      <c r="F42" s="17" t="n"/>
      <c r="G42" s="18" t="n"/>
    </row>
    <row r="43">
      <c r="A43" s="14">
        <f>IF(Questions!A42="","",Questions!A42)</f>
        <v/>
      </c>
      <c r="B43" s="17" t="n"/>
      <c r="C43" s="17" t="n"/>
      <c r="D43" s="17" t="n"/>
      <c r="E43" s="17" t="n"/>
      <c r="F43" s="17" t="n"/>
      <c r="G43" s="18" t="n"/>
    </row>
    <row r="44">
      <c r="A44" s="14">
        <f>IF(Questions!A43="","",Questions!A43)</f>
        <v/>
      </c>
      <c r="B44" s="17" t="n"/>
      <c r="C44" s="17" t="n"/>
      <c r="D44" s="17" t="n"/>
      <c r="E44" s="17" t="n"/>
      <c r="F44" s="17" t="n"/>
      <c r="G44" s="18" t="n"/>
    </row>
    <row r="45">
      <c r="A45" s="14">
        <f>IF(Questions!A44="","",Questions!A44)</f>
        <v/>
      </c>
      <c r="B45" s="17" t="n"/>
      <c r="C45" s="17" t="n"/>
      <c r="D45" s="17" t="n"/>
      <c r="E45" s="17" t="n"/>
      <c r="F45" s="17" t="n"/>
      <c r="G45" s="18" t="n"/>
    </row>
    <row r="46">
      <c r="A46" s="14">
        <f>IF(Questions!A45="","",Questions!A45)</f>
        <v/>
      </c>
      <c r="B46" s="17" t="n"/>
      <c r="C46" s="17" t="n"/>
      <c r="D46" s="17" t="n"/>
      <c r="E46" s="17" t="n"/>
      <c r="F46" s="17" t="n"/>
      <c r="G46" s="18" t="n"/>
    </row>
    <row r="47">
      <c r="A47" s="14">
        <f>IF(Questions!A46="","",Questions!A46)</f>
        <v/>
      </c>
      <c r="B47" s="17" t="n"/>
      <c r="C47" s="17" t="n"/>
      <c r="D47" s="17" t="n"/>
      <c r="E47" s="17" t="n"/>
      <c r="F47" s="17" t="n"/>
      <c r="G47" s="18" t="n"/>
    </row>
    <row r="48">
      <c r="A48" s="14">
        <f>IF(Questions!A47="","",Questions!A47)</f>
        <v/>
      </c>
      <c r="B48" s="17" t="n"/>
      <c r="C48" s="17" t="n"/>
      <c r="D48" s="17" t="n"/>
      <c r="E48" s="17" t="n"/>
      <c r="F48" s="17" t="n"/>
      <c r="G48" s="18" t="n"/>
    </row>
    <row r="49">
      <c r="A49" s="14">
        <f>IF(Questions!A48="","",Questions!A48)</f>
        <v/>
      </c>
      <c r="B49" s="17" t="n"/>
      <c r="C49" s="17" t="n"/>
      <c r="D49" s="17" t="n"/>
      <c r="E49" s="17" t="n"/>
      <c r="F49" s="17" t="n"/>
      <c r="G49" s="18" t="n"/>
    </row>
    <row r="50">
      <c r="A50" s="14">
        <f>IF(Questions!A49="","",Questions!A49)</f>
        <v/>
      </c>
      <c r="B50" s="17" t="n"/>
      <c r="C50" s="17" t="n"/>
      <c r="D50" s="17" t="n"/>
      <c r="E50" s="17" t="n"/>
      <c r="F50" s="17" t="n"/>
      <c r="G50" s="18" t="n"/>
    </row>
    <row r="51">
      <c r="A51" s="14">
        <f>IF(Questions!A50="","",Questions!A50)</f>
        <v/>
      </c>
      <c r="B51" s="17" t="n"/>
      <c r="C51" s="17" t="n"/>
      <c r="D51" s="17" t="n"/>
      <c r="E51" s="17" t="n"/>
      <c r="F51" s="17" t="n"/>
      <c r="G51" s="18" t="n"/>
    </row>
    <row r="52">
      <c r="A52" s="14">
        <f>IF(Questions!A51="","",Questions!A51)</f>
        <v/>
      </c>
      <c r="B52" s="17" t="n"/>
      <c r="C52" s="17" t="n"/>
      <c r="D52" s="17" t="n"/>
      <c r="E52" s="17" t="n"/>
      <c r="F52" s="17" t="n"/>
      <c r="G52" s="18" t="n"/>
    </row>
    <row r="53">
      <c r="A53" s="14">
        <f>IF(Questions!A52="","",Questions!A52)</f>
        <v/>
      </c>
      <c r="B53" s="17" t="n"/>
      <c r="C53" s="17" t="n"/>
      <c r="D53" s="17" t="n"/>
      <c r="E53" s="17" t="n"/>
      <c r="F53" s="17" t="n"/>
      <c r="G53" s="18" t="n"/>
    </row>
    <row r="54">
      <c r="A54" s="14">
        <f>IF(Questions!A53="","",Questions!A53)</f>
        <v/>
      </c>
      <c r="B54" s="17" t="n"/>
      <c r="C54" s="17" t="n"/>
      <c r="D54" s="17" t="n"/>
      <c r="E54" s="17" t="n"/>
      <c r="F54" s="17" t="n"/>
      <c r="G54" s="18" t="n"/>
    </row>
    <row r="55">
      <c r="A55" s="14">
        <f>IF(Questions!A54="","",Questions!A54)</f>
        <v/>
      </c>
      <c r="B55" s="17" t="n"/>
      <c r="C55" s="17" t="n"/>
      <c r="D55" s="17" t="n"/>
      <c r="E55" s="17" t="n"/>
      <c r="F55" s="17" t="n"/>
      <c r="G55" s="18" t="n"/>
    </row>
    <row r="56">
      <c r="A56" s="14">
        <f>IF(Questions!A55="","",Questions!A55)</f>
        <v/>
      </c>
      <c r="B56" s="17" t="n"/>
      <c r="C56" s="17" t="n"/>
      <c r="D56" s="17" t="n"/>
      <c r="E56" s="17" t="n"/>
      <c r="F56" s="17" t="n"/>
      <c r="G56" s="18" t="n"/>
    </row>
    <row r="57">
      <c r="A57" s="14">
        <f>IF(Questions!A56="","",Questions!A56)</f>
        <v/>
      </c>
      <c r="B57" s="17" t="n"/>
      <c r="C57" s="17" t="n"/>
      <c r="D57" s="17" t="n"/>
      <c r="E57" s="17" t="n"/>
      <c r="F57" s="17" t="n"/>
      <c r="G57" s="18" t="n"/>
    </row>
    <row r="58">
      <c r="A58" s="14">
        <f>IF(Questions!A57="","",Questions!A57)</f>
        <v/>
      </c>
      <c r="B58" s="17" t="n"/>
      <c r="C58" s="17" t="n"/>
      <c r="D58" s="17" t="n"/>
      <c r="E58" s="17" t="n"/>
      <c r="F58" s="17" t="n"/>
      <c r="G58" s="18" t="n"/>
    </row>
    <row r="59">
      <c r="A59" s="14">
        <f>IF(Questions!A58="","",Questions!A58)</f>
        <v/>
      </c>
      <c r="B59" s="17" t="n"/>
      <c r="C59" s="17" t="n"/>
      <c r="D59" s="17" t="n"/>
      <c r="E59" s="17" t="n"/>
      <c r="F59" s="17" t="n"/>
      <c r="G59" s="18" t="n"/>
    </row>
    <row r="60">
      <c r="A60" s="14">
        <f>IF(Questions!A59="","",Questions!A59)</f>
        <v/>
      </c>
      <c r="B60" s="17" t="n"/>
      <c r="C60" s="17" t="n"/>
      <c r="D60" s="17" t="n"/>
      <c r="E60" s="17" t="n"/>
      <c r="F60" s="17" t="n"/>
      <c r="G60" s="18" t="n"/>
    </row>
    <row r="61">
      <c r="A61" s="14">
        <f>IF(Questions!A60="","",Questions!A60)</f>
        <v/>
      </c>
      <c r="B61" s="17" t="n"/>
      <c r="C61" s="17" t="n"/>
      <c r="D61" s="17" t="n"/>
      <c r="E61" s="17" t="n"/>
      <c r="F61" s="17" t="n"/>
      <c r="G61" s="18" t="n"/>
    </row>
    <row r="62">
      <c r="A62" s="14">
        <f>IF(Questions!A61="","",Questions!A61)</f>
        <v/>
      </c>
      <c r="B62" s="17" t="n"/>
      <c r="C62" s="17" t="n"/>
      <c r="D62" s="17" t="n"/>
      <c r="E62" s="17" t="n"/>
      <c r="F62" s="17" t="n"/>
      <c r="G62" s="18" t="n"/>
    </row>
  </sheetData>
  <mergeCells count="1">
    <mergeCell ref="A1:G1"/>
  </mergeCells>
  <dataValidations count="2">
    <dataValidation sqref="B3:B62" showDropDown="0" showInputMessage="0" showErrorMessage="0" allowBlank="1" error="Choose easy, medium or hard." type="list">
      <formula1>"easy,medium,hard"</formula1>
    </dataValidation>
    <dataValidation sqref="C3:F62" showDropDown="0" showInputMessage="0" showErrorMessage="0" allowBlank="1" error="Score from 1 (poor) to 5 (excellent)." type="list">
      <formula1>"1,2,3,4,5"</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2"/>
  <sheetViews>
    <sheetView showGridLines="0" workbookViewId="0">
      <pane xSplit="1" ySplit="2" topLeftCell="B3" activePane="bottomRight" state="frozen"/>
      <selection pane="topRight"/>
      <selection pane="bottomLeft"/>
      <selection pane="bottomRight" activeCell="A1" sqref="A1"/>
    </sheetView>
  </sheetViews>
  <sheetFormatPr baseColWidth="8" defaultRowHeight="15"/>
  <cols>
    <col width="14" customWidth="1" min="1" max="1"/>
    <col width="13" customWidth="1" min="2" max="2"/>
    <col width="10" customWidth="1" min="3" max="3"/>
    <col width="14" customWidth="1" min="4" max="4"/>
    <col width="12" customWidth="1" min="5" max="5"/>
    <col width="11" customWidth="1" min="6" max="6"/>
    <col width="60" customWidth="1" min="7" max="7"/>
  </cols>
  <sheetData>
    <row r="1">
      <c r="A1" s="13" t="inlineStr">
        <is>
          <t>RATER 3 — fill the yellow cells only. Do not open System_Key until everyone has finished.</t>
        </is>
      </c>
    </row>
    <row r="2" ht="24" customHeight="1">
      <c r="A2" s="10" t="inlineStr">
        <is>
          <t>question_id</t>
        </is>
      </c>
      <c r="B2" s="10" t="inlineStr">
        <is>
          <t>difficulty</t>
        </is>
      </c>
      <c r="C2" s="10" t="inlineStr">
        <is>
          <t>clarity</t>
        </is>
      </c>
      <c r="D2" s="10" t="inlineStr">
        <is>
          <t>groundedness</t>
        </is>
      </c>
      <c r="E2" s="10" t="inlineStr">
        <is>
          <t>solvability</t>
        </is>
      </c>
      <c r="F2" s="10" t="inlineStr">
        <is>
          <t>would_use</t>
        </is>
      </c>
      <c r="G2" s="10" t="inlineStr">
        <is>
          <t>comments</t>
        </is>
      </c>
    </row>
    <row r="3">
      <c r="A3" s="14">
        <f>IF(Questions!A2="","",Questions!A2)</f>
        <v/>
      </c>
      <c r="B3" s="17" t="n"/>
      <c r="C3" s="17" t="n"/>
      <c r="D3" s="17" t="n"/>
      <c r="E3" s="17" t="n"/>
      <c r="F3" s="17" t="n"/>
      <c r="G3" s="18" t="n"/>
    </row>
    <row r="4">
      <c r="A4" s="14">
        <f>IF(Questions!A3="","",Questions!A3)</f>
        <v/>
      </c>
      <c r="B4" s="17" t="n"/>
      <c r="C4" s="17" t="n"/>
      <c r="D4" s="17" t="n"/>
      <c r="E4" s="17" t="n"/>
      <c r="F4" s="17" t="n"/>
      <c r="G4" s="18" t="n"/>
    </row>
    <row r="5">
      <c r="A5" s="14">
        <f>IF(Questions!A4="","",Questions!A4)</f>
        <v/>
      </c>
      <c r="B5" s="17" t="n"/>
      <c r="C5" s="17" t="n"/>
      <c r="D5" s="17" t="n"/>
      <c r="E5" s="17" t="n"/>
      <c r="F5" s="17" t="n"/>
      <c r="G5" s="18" t="n"/>
    </row>
    <row r="6">
      <c r="A6" s="14">
        <f>IF(Questions!A5="","",Questions!A5)</f>
        <v/>
      </c>
      <c r="B6" s="17" t="n"/>
      <c r="C6" s="17" t="n"/>
      <c r="D6" s="17" t="n"/>
      <c r="E6" s="17" t="n"/>
      <c r="F6" s="17" t="n"/>
      <c r="G6" s="18" t="n"/>
    </row>
    <row r="7">
      <c r="A7" s="14">
        <f>IF(Questions!A6="","",Questions!A6)</f>
        <v/>
      </c>
      <c r="B7" s="17" t="n"/>
      <c r="C7" s="17" t="n"/>
      <c r="D7" s="17" t="n"/>
      <c r="E7" s="17" t="n"/>
      <c r="F7" s="17" t="n"/>
      <c r="G7" s="18" t="n"/>
    </row>
    <row r="8">
      <c r="A8" s="14">
        <f>IF(Questions!A7="","",Questions!A7)</f>
        <v/>
      </c>
      <c r="B8" s="17" t="n"/>
      <c r="C8" s="17" t="n"/>
      <c r="D8" s="17" t="n"/>
      <c r="E8" s="17" t="n"/>
      <c r="F8" s="17" t="n"/>
      <c r="G8" s="18" t="n"/>
    </row>
    <row r="9">
      <c r="A9" s="14">
        <f>IF(Questions!A8="","",Questions!A8)</f>
        <v/>
      </c>
      <c r="B9" s="17" t="n"/>
      <c r="C9" s="17" t="n"/>
      <c r="D9" s="17" t="n"/>
      <c r="E9" s="17" t="n"/>
      <c r="F9" s="17" t="n"/>
      <c r="G9" s="18" t="n"/>
    </row>
    <row r="10">
      <c r="A10" s="14">
        <f>IF(Questions!A9="","",Questions!A9)</f>
        <v/>
      </c>
      <c r="B10" s="17" t="n"/>
      <c r="C10" s="17" t="n"/>
      <c r="D10" s="17" t="n"/>
      <c r="E10" s="17" t="n"/>
      <c r="F10" s="17" t="n"/>
      <c r="G10" s="18" t="n"/>
    </row>
    <row r="11">
      <c r="A11" s="14">
        <f>IF(Questions!A10="","",Questions!A10)</f>
        <v/>
      </c>
      <c r="B11" s="17" t="n"/>
      <c r="C11" s="17" t="n"/>
      <c r="D11" s="17" t="n"/>
      <c r="E11" s="17" t="n"/>
      <c r="F11" s="17" t="n"/>
      <c r="G11" s="18" t="n"/>
    </row>
    <row r="12">
      <c r="A12" s="14">
        <f>IF(Questions!A11="","",Questions!A11)</f>
        <v/>
      </c>
      <c r="B12" s="17" t="n"/>
      <c r="C12" s="17" t="n"/>
      <c r="D12" s="17" t="n"/>
      <c r="E12" s="17" t="n"/>
      <c r="F12" s="17" t="n"/>
      <c r="G12" s="18" t="n"/>
    </row>
    <row r="13">
      <c r="A13" s="14">
        <f>IF(Questions!A12="","",Questions!A12)</f>
        <v/>
      </c>
      <c r="B13" s="17" t="n"/>
      <c r="C13" s="17" t="n"/>
      <c r="D13" s="17" t="n"/>
      <c r="E13" s="17" t="n"/>
      <c r="F13" s="17" t="n"/>
      <c r="G13" s="18" t="n"/>
    </row>
    <row r="14">
      <c r="A14" s="14">
        <f>IF(Questions!A13="","",Questions!A13)</f>
        <v/>
      </c>
      <c r="B14" s="17" t="n"/>
      <c r="C14" s="17" t="n"/>
      <c r="D14" s="17" t="n"/>
      <c r="E14" s="17" t="n"/>
      <c r="F14" s="17" t="n"/>
      <c r="G14" s="18" t="n"/>
    </row>
    <row r="15">
      <c r="A15" s="14">
        <f>IF(Questions!A14="","",Questions!A14)</f>
        <v/>
      </c>
      <c r="B15" s="17" t="n"/>
      <c r="C15" s="17" t="n"/>
      <c r="D15" s="17" t="n"/>
      <c r="E15" s="17" t="n"/>
      <c r="F15" s="17" t="n"/>
      <c r="G15" s="18" t="n"/>
    </row>
    <row r="16">
      <c r="A16" s="14">
        <f>IF(Questions!A15="","",Questions!A15)</f>
        <v/>
      </c>
      <c r="B16" s="17" t="n"/>
      <c r="C16" s="17" t="n"/>
      <c r="D16" s="17" t="n"/>
      <c r="E16" s="17" t="n"/>
      <c r="F16" s="17" t="n"/>
      <c r="G16" s="18" t="n"/>
    </row>
    <row r="17">
      <c r="A17" s="14">
        <f>IF(Questions!A16="","",Questions!A16)</f>
        <v/>
      </c>
      <c r="B17" s="17" t="n"/>
      <c r="C17" s="17" t="n"/>
      <c r="D17" s="17" t="n"/>
      <c r="E17" s="17" t="n"/>
      <c r="F17" s="17" t="n"/>
      <c r="G17" s="18" t="n"/>
    </row>
    <row r="18">
      <c r="A18" s="14">
        <f>IF(Questions!A17="","",Questions!A17)</f>
        <v/>
      </c>
      <c r="B18" s="17" t="n"/>
      <c r="C18" s="17" t="n"/>
      <c r="D18" s="17" t="n"/>
      <c r="E18" s="17" t="n"/>
      <c r="F18" s="17" t="n"/>
      <c r="G18" s="18" t="n"/>
    </row>
    <row r="19">
      <c r="A19" s="14">
        <f>IF(Questions!A18="","",Questions!A18)</f>
        <v/>
      </c>
      <c r="B19" s="17" t="n"/>
      <c r="C19" s="17" t="n"/>
      <c r="D19" s="17" t="n"/>
      <c r="E19" s="17" t="n"/>
      <c r="F19" s="17" t="n"/>
      <c r="G19" s="18" t="n"/>
    </row>
    <row r="20">
      <c r="A20" s="14">
        <f>IF(Questions!A19="","",Questions!A19)</f>
        <v/>
      </c>
      <c r="B20" s="17" t="n"/>
      <c r="C20" s="17" t="n"/>
      <c r="D20" s="17" t="n"/>
      <c r="E20" s="17" t="n"/>
      <c r="F20" s="17" t="n"/>
      <c r="G20" s="18" t="n"/>
    </row>
    <row r="21">
      <c r="A21" s="14">
        <f>IF(Questions!A20="","",Questions!A20)</f>
        <v/>
      </c>
      <c r="B21" s="17" t="n"/>
      <c r="C21" s="17" t="n"/>
      <c r="D21" s="17" t="n"/>
      <c r="E21" s="17" t="n"/>
      <c r="F21" s="17" t="n"/>
      <c r="G21" s="18" t="n"/>
    </row>
    <row r="22">
      <c r="A22" s="14">
        <f>IF(Questions!A21="","",Questions!A21)</f>
        <v/>
      </c>
      <c r="B22" s="17" t="n"/>
      <c r="C22" s="17" t="n"/>
      <c r="D22" s="17" t="n"/>
      <c r="E22" s="17" t="n"/>
      <c r="F22" s="17" t="n"/>
      <c r="G22" s="18" t="n"/>
    </row>
    <row r="23">
      <c r="A23" s="14">
        <f>IF(Questions!A22="","",Questions!A22)</f>
        <v/>
      </c>
      <c r="B23" s="17" t="n"/>
      <c r="C23" s="17" t="n"/>
      <c r="D23" s="17" t="n"/>
      <c r="E23" s="17" t="n"/>
      <c r="F23" s="17" t="n"/>
      <c r="G23" s="18" t="n"/>
    </row>
    <row r="24">
      <c r="A24" s="14">
        <f>IF(Questions!A23="","",Questions!A23)</f>
        <v/>
      </c>
      <c r="B24" s="17" t="n"/>
      <c r="C24" s="17" t="n"/>
      <c r="D24" s="17" t="n"/>
      <c r="E24" s="17" t="n"/>
      <c r="F24" s="17" t="n"/>
      <c r="G24" s="18" t="n"/>
    </row>
    <row r="25">
      <c r="A25" s="14">
        <f>IF(Questions!A24="","",Questions!A24)</f>
        <v/>
      </c>
      <c r="B25" s="17" t="n"/>
      <c r="C25" s="17" t="n"/>
      <c r="D25" s="17" t="n"/>
      <c r="E25" s="17" t="n"/>
      <c r="F25" s="17" t="n"/>
      <c r="G25" s="18" t="n"/>
    </row>
    <row r="26">
      <c r="A26" s="14">
        <f>IF(Questions!A25="","",Questions!A25)</f>
        <v/>
      </c>
      <c r="B26" s="17" t="n"/>
      <c r="C26" s="17" t="n"/>
      <c r="D26" s="17" t="n"/>
      <c r="E26" s="17" t="n"/>
      <c r="F26" s="17" t="n"/>
      <c r="G26" s="18" t="n"/>
    </row>
    <row r="27">
      <c r="A27" s="14">
        <f>IF(Questions!A26="","",Questions!A26)</f>
        <v/>
      </c>
      <c r="B27" s="17" t="n"/>
      <c r="C27" s="17" t="n"/>
      <c r="D27" s="17" t="n"/>
      <c r="E27" s="17" t="n"/>
      <c r="F27" s="17" t="n"/>
      <c r="G27" s="18" t="n"/>
    </row>
    <row r="28">
      <c r="A28" s="14">
        <f>IF(Questions!A27="","",Questions!A27)</f>
        <v/>
      </c>
      <c r="B28" s="17" t="n"/>
      <c r="C28" s="17" t="n"/>
      <c r="D28" s="17" t="n"/>
      <c r="E28" s="17" t="n"/>
      <c r="F28" s="17" t="n"/>
      <c r="G28" s="18" t="n"/>
    </row>
    <row r="29">
      <c r="A29" s="14">
        <f>IF(Questions!A28="","",Questions!A28)</f>
        <v/>
      </c>
      <c r="B29" s="17" t="n"/>
      <c r="C29" s="17" t="n"/>
      <c r="D29" s="17" t="n"/>
      <c r="E29" s="17" t="n"/>
      <c r="F29" s="17" t="n"/>
      <c r="G29" s="18" t="n"/>
    </row>
    <row r="30">
      <c r="A30" s="14">
        <f>IF(Questions!A29="","",Questions!A29)</f>
        <v/>
      </c>
      <c r="B30" s="17" t="n"/>
      <c r="C30" s="17" t="n"/>
      <c r="D30" s="17" t="n"/>
      <c r="E30" s="17" t="n"/>
      <c r="F30" s="17" t="n"/>
      <c r="G30" s="18" t="n"/>
    </row>
    <row r="31">
      <c r="A31" s="14">
        <f>IF(Questions!A30="","",Questions!A30)</f>
        <v/>
      </c>
      <c r="B31" s="17" t="n"/>
      <c r="C31" s="17" t="n"/>
      <c r="D31" s="17" t="n"/>
      <c r="E31" s="17" t="n"/>
      <c r="F31" s="17" t="n"/>
      <c r="G31" s="18" t="n"/>
    </row>
    <row r="32">
      <c r="A32" s="14">
        <f>IF(Questions!A31="","",Questions!A31)</f>
        <v/>
      </c>
      <c r="B32" s="17" t="n"/>
      <c r="C32" s="17" t="n"/>
      <c r="D32" s="17" t="n"/>
      <c r="E32" s="17" t="n"/>
      <c r="F32" s="17" t="n"/>
      <c r="G32" s="18" t="n"/>
    </row>
    <row r="33">
      <c r="A33" s="14">
        <f>IF(Questions!A32="","",Questions!A32)</f>
        <v/>
      </c>
      <c r="B33" s="17" t="n"/>
      <c r="C33" s="17" t="n"/>
      <c r="D33" s="17" t="n"/>
      <c r="E33" s="17" t="n"/>
      <c r="F33" s="17" t="n"/>
      <c r="G33" s="18" t="n"/>
    </row>
    <row r="34">
      <c r="A34" s="14">
        <f>IF(Questions!A33="","",Questions!A33)</f>
        <v/>
      </c>
      <c r="B34" s="17" t="n"/>
      <c r="C34" s="17" t="n"/>
      <c r="D34" s="17" t="n"/>
      <c r="E34" s="17" t="n"/>
      <c r="F34" s="17" t="n"/>
      <c r="G34" s="18" t="n"/>
    </row>
    <row r="35">
      <c r="A35" s="14">
        <f>IF(Questions!A34="","",Questions!A34)</f>
        <v/>
      </c>
      <c r="B35" s="17" t="n"/>
      <c r="C35" s="17" t="n"/>
      <c r="D35" s="17" t="n"/>
      <c r="E35" s="17" t="n"/>
      <c r="F35" s="17" t="n"/>
      <c r="G35" s="18" t="n"/>
    </row>
    <row r="36">
      <c r="A36" s="14">
        <f>IF(Questions!A35="","",Questions!A35)</f>
        <v/>
      </c>
      <c r="B36" s="17" t="n"/>
      <c r="C36" s="17" t="n"/>
      <c r="D36" s="17" t="n"/>
      <c r="E36" s="17" t="n"/>
      <c r="F36" s="17" t="n"/>
      <c r="G36" s="18" t="n"/>
    </row>
    <row r="37">
      <c r="A37" s="14">
        <f>IF(Questions!A36="","",Questions!A36)</f>
        <v/>
      </c>
      <c r="B37" s="17" t="n"/>
      <c r="C37" s="17" t="n"/>
      <c r="D37" s="17" t="n"/>
      <c r="E37" s="17" t="n"/>
      <c r="F37" s="17" t="n"/>
      <c r="G37" s="18" t="n"/>
    </row>
    <row r="38">
      <c r="A38" s="14">
        <f>IF(Questions!A37="","",Questions!A37)</f>
        <v/>
      </c>
      <c r="B38" s="17" t="n"/>
      <c r="C38" s="17" t="n"/>
      <c r="D38" s="17" t="n"/>
      <c r="E38" s="17" t="n"/>
      <c r="F38" s="17" t="n"/>
      <c r="G38" s="18" t="n"/>
    </row>
    <row r="39">
      <c r="A39" s="14">
        <f>IF(Questions!A38="","",Questions!A38)</f>
        <v/>
      </c>
      <c r="B39" s="17" t="n"/>
      <c r="C39" s="17" t="n"/>
      <c r="D39" s="17" t="n"/>
      <c r="E39" s="17" t="n"/>
      <c r="F39" s="17" t="n"/>
      <c r="G39" s="18" t="n"/>
    </row>
    <row r="40">
      <c r="A40" s="14">
        <f>IF(Questions!A39="","",Questions!A39)</f>
        <v/>
      </c>
      <c r="B40" s="17" t="n"/>
      <c r="C40" s="17" t="n"/>
      <c r="D40" s="17" t="n"/>
      <c r="E40" s="17" t="n"/>
      <c r="F40" s="17" t="n"/>
      <c r="G40" s="18" t="n"/>
    </row>
    <row r="41">
      <c r="A41" s="14">
        <f>IF(Questions!A40="","",Questions!A40)</f>
        <v/>
      </c>
      <c r="B41" s="17" t="n"/>
      <c r="C41" s="17" t="n"/>
      <c r="D41" s="17" t="n"/>
      <c r="E41" s="17" t="n"/>
      <c r="F41" s="17" t="n"/>
      <c r="G41" s="18" t="n"/>
    </row>
    <row r="42">
      <c r="A42" s="14">
        <f>IF(Questions!A41="","",Questions!A41)</f>
        <v/>
      </c>
      <c r="B42" s="17" t="n"/>
      <c r="C42" s="17" t="n"/>
      <c r="D42" s="17" t="n"/>
      <c r="E42" s="17" t="n"/>
      <c r="F42" s="17" t="n"/>
      <c r="G42" s="18" t="n"/>
    </row>
    <row r="43">
      <c r="A43" s="14">
        <f>IF(Questions!A42="","",Questions!A42)</f>
        <v/>
      </c>
      <c r="B43" s="17" t="n"/>
      <c r="C43" s="17" t="n"/>
      <c r="D43" s="17" t="n"/>
      <c r="E43" s="17" t="n"/>
      <c r="F43" s="17" t="n"/>
      <c r="G43" s="18" t="n"/>
    </row>
    <row r="44">
      <c r="A44" s="14">
        <f>IF(Questions!A43="","",Questions!A43)</f>
        <v/>
      </c>
      <c r="B44" s="17" t="n"/>
      <c r="C44" s="17" t="n"/>
      <c r="D44" s="17" t="n"/>
      <c r="E44" s="17" t="n"/>
      <c r="F44" s="17" t="n"/>
      <c r="G44" s="18" t="n"/>
    </row>
    <row r="45">
      <c r="A45" s="14">
        <f>IF(Questions!A44="","",Questions!A44)</f>
        <v/>
      </c>
      <c r="B45" s="17" t="n"/>
      <c r="C45" s="17" t="n"/>
      <c r="D45" s="17" t="n"/>
      <c r="E45" s="17" t="n"/>
      <c r="F45" s="17" t="n"/>
      <c r="G45" s="18" t="n"/>
    </row>
    <row r="46">
      <c r="A46" s="14">
        <f>IF(Questions!A45="","",Questions!A45)</f>
        <v/>
      </c>
      <c r="B46" s="17" t="n"/>
      <c r="C46" s="17" t="n"/>
      <c r="D46" s="17" t="n"/>
      <c r="E46" s="17" t="n"/>
      <c r="F46" s="17" t="n"/>
      <c r="G46" s="18" t="n"/>
    </row>
    <row r="47">
      <c r="A47" s="14">
        <f>IF(Questions!A46="","",Questions!A46)</f>
        <v/>
      </c>
      <c r="B47" s="17" t="n"/>
      <c r="C47" s="17" t="n"/>
      <c r="D47" s="17" t="n"/>
      <c r="E47" s="17" t="n"/>
      <c r="F47" s="17" t="n"/>
      <c r="G47" s="18" t="n"/>
    </row>
    <row r="48">
      <c r="A48" s="14">
        <f>IF(Questions!A47="","",Questions!A47)</f>
        <v/>
      </c>
      <c r="B48" s="17" t="n"/>
      <c r="C48" s="17" t="n"/>
      <c r="D48" s="17" t="n"/>
      <c r="E48" s="17" t="n"/>
      <c r="F48" s="17" t="n"/>
      <c r="G48" s="18" t="n"/>
    </row>
    <row r="49">
      <c r="A49" s="14">
        <f>IF(Questions!A48="","",Questions!A48)</f>
        <v/>
      </c>
      <c r="B49" s="17" t="n"/>
      <c r="C49" s="17" t="n"/>
      <c r="D49" s="17" t="n"/>
      <c r="E49" s="17" t="n"/>
      <c r="F49" s="17" t="n"/>
      <c r="G49" s="18" t="n"/>
    </row>
    <row r="50">
      <c r="A50" s="14">
        <f>IF(Questions!A49="","",Questions!A49)</f>
        <v/>
      </c>
      <c r="B50" s="17" t="n"/>
      <c r="C50" s="17" t="n"/>
      <c r="D50" s="17" t="n"/>
      <c r="E50" s="17" t="n"/>
      <c r="F50" s="17" t="n"/>
      <c r="G50" s="18" t="n"/>
    </row>
    <row r="51">
      <c r="A51" s="14">
        <f>IF(Questions!A50="","",Questions!A50)</f>
        <v/>
      </c>
      <c r="B51" s="17" t="n"/>
      <c r="C51" s="17" t="n"/>
      <c r="D51" s="17" t="n"/>
      <c r="E51" s="17" t="n"/>
      <c r="F51" s="17" t="n"/>
      <c r="G51" s="18" t="n"/>
    </row>
    <row r="52">
      <c r="A52" s="14">
        <f>IF(Questions!A51="","",Questions!A51)</f>
        <v/>
      </c>
      <c r="B52" s="17" t="n"/>
      <c r="C52" s="17" t="n"/>
      <c r="D52" s="17" t="n"/>
      <c r="E52" s="17" t="n"/>
      <c r="F52" s="17" t="n"/>
      <c r="G52" s="18" t="n"/>
    </row>
    <row r="53">
      <c r="A53" s="14">
        <f>IF(Questions!A52="","",Questions!A52)</f>
        <v/>
      </c>
      <c r="B53" s="17" t="n"/>
      <c r="C53" s="17" t="n"/>
      <c r="D53" s="17" t="n"/>
      <c r="E53" s="17" t="n"/>
      <c r="F53" s="17" t="n"/>
      <c r="G53" s="18" t="n"/>
    </row>
    <row r="54">
      <c r="A54" s="14">
        <f>IF(Questions!A53="","",Questions!A53)</f>
        <v/>
      </c>
      <c r="B54" s="17" t="n"/>
      <c r="C54" s="17" t="n"/>
      <c r="D54" s="17" t="n"/>
      <c r="E54" s="17" t="n"/>
      <c r="F54" s="17" t="n"/>
      <c r="G54" s="18" t="n"/>
    </row>
    <row r="55">
      <c r="A55" s="14">
        <f>IF(Questions!A54="","",Questions!A54)</f>
        <v/>
      </c>
      <c r="B55" s="17" t="n"/>
      <c r="C55" s="17" t="n"/>
      <c r="D55" s="17" t="n"/>
      <c r="E55" s="17" t="n"/>
      <c r="F55" s="17" t="n"/>
      <c r="G55" s="18" t="n"/>
    </row>
    <row r="56">
      <c r="A56" s="14">
        <f>IF(Questions!A55="","",Questions!A55)</f>
        <v/>
      </c>
      <c r="B56" s="17" t="n"/>
      <c r="C56" s="17" t="n"/>
      <c r="D56" s="17" t="n"/>
      <c r="E56" s="17" t="n"/>
      <c r="F56" s="17" t="n"/>
      <c r="G56" s="18" t="n"/>
    </row>
    <row r="57">
      <c r="A57" s="14">
        <f>IF(Questions!A56="","",Questions!A56)</f>
        <v/>
      </c>
      <c r="B57" s="17" t="n"/>
      <c r="C57" s="17" t="n"/>
      <c r="D57" s="17" t="n"/>
      <c r="E57" s="17" t="n"/>
      <c r="F57" s="17" t="n"/>
      <c r="G57" s="18" t="n"/>
    </row>
    <row r="58">
      <c r="A58" s="14">
        <f>IF(Questions!A57="","",Questions!A57)</f>
        <v/>
      </c>
      <c r="B58" s="17" t="n"/>
      <c r="C58" s="17" t="n"/>
      <c r="D58" s="17" t="n"/>
      <c r="E58" s="17" t="n"/>
      <c r="F58" s="17" t="n"/>
      <c r="G58" s="18" t="n"/>
    </row>
    <row r="59">
      <c r="A59" s="14">
        <f>IF(Questions!A58="","",Questions!A58)</f>
        <v/>
      </c>
      <c r="B59" s="17" t="n"/>
      <c r="C59" s="17" t="n"/>
      <c r="D59" s="17" t="n"/>
      <c r="E59" s="17" t="n"/>
      <c r="F59" s="17" t="n"/>
      <c r="G59" s="18" t="n"/>
    </row>
    <row r="60">
      <c r="A60" s="14">
        <f>IF(Questions!A59="","",Questions!A59)</f>
        <v/>
      </c>
      <c r="B60" s="17" t="n"/>
      <c r="C60" s="17" t="n"/>
      <c r="D60" s="17" t="n"/>
      <c r="E60" s="17" t="n"/>
      <c r="F60" s="17" t="n"/>
      <c r="G60" s="18" t="n"/>
    </row>
    <row r="61">
      <c r="A61" s="14">
        <f>IF(Questions!A60="","",Questions!A60)</f>
        <v/>
      </c>
      <c r="B61" s="17" t="n"/>
      <c r="C61" s="17" t="n"/>
      <c r="D61" s="17" t="n"/>
      <c r="E61" s="17" t="n"/>
      <c r="F61" s="17" t="n"/>
      <c r="G61" s="18" t="n"/>
    </row>
    <row r="62">
      <c r="A62" s="14">
        <f>IF(Questions!A61="","",Questions!A61)</f>
        <v/>
      </c>
      <c r="B62" s="17" t="n"/>
      <c r="C62" s="17" t="n"/>
      <c r="D62" s="17" t="n"/>
      <c r="E62" s="17" t="n"/>
      <c r="F62" s="17" t="n"/>
      <c r="G62" s="18" t="n"/>
    </row>
  </sheetData>
  <mergeCells count="1">
    <mergeCell ref="A1:G1"/>
  </mergeCells>
  <dataValidations count="2">
    <dataValidation sqref="B3:B62" showDropDown="0" showInputMessage="0" showErrorMessage="0" allowBlank="1" error="Choose easy, medium or hard." type="list">
      <formula1>"easy,medium,hard"</formula1>
    </dataValidation>
    <dataValidation sqref="C3:F62" showDropDown="0" showInputMessage="0" showErrorMessage="0" allowBlank="1" error="Score from 1 (poor) to 5 (excellent)." type="list">
      <formula1>"1,2,3,4,5"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79"/>
  <sheetViews>
    <sheetView showGridLines="0" workbookViewId="0">
      <pane ySplit="3" topLeftCell="A4" activePane="bottomLeft" state="frozen"/>
      <selection pane="bottomLeft" activeCell="A1" sqref="A1"/>
    </sheetView>
  </sheetViews>
  <sheetFormatPr baseColWidth="8" defaultRowHeight="15"/>
  <cols>
    <col width="14" customWidth="1" min="1" max="1"/>
    <col width="9" customWidth="1" min="2" max="2"/>
    <col width="10" customWidth="1" min="3" max="3"/>
    <col width="9" customWidth="1" min="4" max="4"/>
    <col width="13" customWidth="1" min="5" max="5"/>
    <col width="12" customWidth="1" min="6" max="6"/>
    <col width="13" customWidth="1" min="7" max="7"/>
    <col width="9" customWidth="1" min="8" max="8"/>
  </cols>
  <sheetData>
    <row r="1">
      <c r="A1" s="19" t="inlineStr">
        <is>
          <t>Inter-rater agreement (calculated — do not edit)</t>
        </is>
      </c>
    </row>
    <row r="3" ht="24" customHeight="1">
      <c r="A3" s="10" t="inlineStr">
        <is>
          <t>question_id</t>
        </is>
      </c>
      <c r="B3" s="10" t="inlineStr">
        <is>
          <t>n_easy</t>
        </is>
      </c>
      <c r="C3" s="10" t="inlineStr">
        <is>
          <t>n_medium</t>
        </is>
      </c>
      <c r="D3" s="10" t="inlineStr">
        <is>
          <t>n_hard</t>
        </is>
      </c>
      <c r="E3" s="10" t="inlineStr">
        <is>
          <t>consensus</t>
        </is>
      </c>
      <c r="F3" s="10" t="inlineStr">
        <is>
          <t>agreement</t>
        </is>
      </c>
      <c r="G3" s="10" t="inlineStr">
        <is>
          <t>mean_quality</t>
        </is>
      </c>
      <c r="H3" s="10" t="inlineStr">
        <is>
          <t>P_i</t>
        </is>
      </c>
    </row>
    <row r="4">
      <c r="A4" s="20">
        <f>IF(Questions!A2="","",Questions!A2)</f>
        <v/>
      </c>
      <c r="B4" s="20">
        <f>IF($A4="","",COUNTIF(Rater_1!B3,"easy")+COUNTIF(Rater_2!B3,"easy")+COUNTIF(Rater_3!B3,"easy"))</f>
        <v/>
      </c>
      <c r="C4" s="20">
        <f>IF($A4="","",COUNTIF(Rater_1!B3,"medium")+COUNTIF(Rater_2!B3,"medium")+COUNTIF(Rater_3!B3,"medium"))</f>
        <v/>
      </c>
      <c r="D4" s="20">
        <f>IF($A4="","",COUNTIF(Rater_1!B3,"hard")+COUNTIF(Rater_2!B3,"hard")+COUNTIF(Rater_3!B3,"hard"))</f>
        <v/>
      </c>
      <c r="E4" s="20">
        <f>IF($A4="","",IF(SUM(B4:D4)&lt;3,"incomplete",IF(MAX(B4:D4)&lt;2,"no majority",INDEX({"easy","medium","hard"},MATCH(MAX(B4:D4),B4:D4,0)))))</f>
        <v/>
      </c>
      <c r="F4" s="20">
        <f>IF($A4="","",IF(SUM(B4:D4)&lt;3,"",IF(MAX(B4:D4)=3,"full",IF(MAX(B4:D4)=2,"partial","none"))))</f>
        <v/>
      </c>
      <c r="G4" s="21">
        <f>IF($A4="","",IFERROR(AVERAGE(Rater_1!C3:F3,Rater_2!C3:F3,Rater_3!C3:F3),""))</f>
        <v/>
      </c>
      <c r="H4" s="22">
        <f>IF($A4="","",IF(SUM(B4:D4)&lt;3,"",(B4^2+C4^2+D4^2-3)/6))</f>
        <v/>
      </c>
    </row>
    <row r="5">
      <c r="A5" s="20">
        <f>IF(Questions!A3="","",Questions!A3)</f>
        <v/>
      </c>
      <c r="B5" s="20">
        <f>IF($A5="","",COUNTIF(Rater_1!B4,"easy")+COUNTIF(Rater_2!B4,"easy")+COUNTIF(Rater_3!B4,"easy"))</f>
        <v/>
      </c>
      <c r="C5" s="20">
        <f>IF($A5="","",COUNTIF(Rater_1!B4,"medium")+COUNTIF(Rater_2!B4,"medium")+COUNTIF(Rater_3!B4,"medium"))</f>
        <v/>
      </c>
      <c r="D5" s="20">
        <f>IF($A5="","",COUNTIF(Rater_1!B4,"hard")+COUNTIF(Rater_2!B4,"hard")+COUNTIF(Rater_3!B4,"hard"))</f>
        <v/>
      </c>
      <c r="E5" s="20">
        <f>IF($A5="","",IF(SUM(B5:D5)&lt;3,"incomplete",IF(MAX(B5:D5)&lt;2,"no majority",INDEX({"easy","medium","hard"},MATCH(MAX(B5:D5),B5:D5,0)))))</f>
        <v/>
      </c>
      <c r="F5" s="20">
        <f>IF($A5="","",IF(SUM(B5:D5)&lt;3,"",IF(MAX(B5:D5)=3,"full",IF(MAX(B5:D5)=2,"partial","none"))))</f>
        <v/>
      </c>
      <c r="G5" s="21">
        <f>IF($A5="","",IFERROR(AVERAGE(Rater_1!C4:F4,Rater_2!C4:F4,Rater_3!C4:F4),""))</f>
        <v/>
      </c>
      <c r="H5" s="22">
        <f>IF($A5="","",IF(SUM(B5:D5)&lt;3,"",(B5^2+C5^2+D5^2-3)/6))</f>
        <v/>
      </c>
    </row>
    <row r="6">
      <c r="A6" s="20">
        <f>IF(Questions!A4="","",Questions!A4)</f>
        <v/>
      </c>
      <c r="B6" s="20">
        <f>IF($A6="","",COUNTIF(Rater_1!B5,"easy")+COUNTIF(Rater_2!B5,"easy")+COUNTIF(Rater_3!B5,"easy"))</f>
        <v/>
      </c>
      <c r="C6" s="20">
        <f>IF($A6="","",COUNTIF(Rater_1!B5,"medium")+COUNTIF(Rater_2!B5,"medium")+COUNTIF(Rater_3!B5,"medium"))</f>
        <v/>
      </c>
      <c r="D6" s="20">
        <f>IF($A6="","",COUNTIF(Rater_1!B5,"hard")+COUNTIF(Rater_2!B5,"hard")+COUNTIF(Rater_3!B5,"hard"))</f>
        <v/>
      </c>
      <c r="E6" s="20">
        <f>IF($A6="","",IF(SUM(B6:D6)&lt;3,"incomplete",IF(MAX(B6:D6)&lt;2,"no majority",INDEX({"easy","medium","hard"},MATCH(MAX(B6:D6),B6:D6,0)))))</f>
        <v/>
      </c>
      <c r="F6" s="20">
        <f>IF($A6="","",IF(SUM(B6:D6)&lt;3,"",IF(MAX(B6:D6)=3,"full",IF(MAX(B6:D6)=2,"partial","none"))))</f>
        <v/>
      </c>
      <c r="G6" s="21">
        <f>IF($A6="","",IFERROR(AVERAGE(Rater_1!C5:F5,Rater_2!C5:F5,Rater_3!C5:F5),""))</f>
        <v/>
      </c>
      <c r="H6" s="22">
        <f>IF($A6="","",IF(SUM(B6:D6)&lt;3,"",(B6^2+C6^2+D6^2-3)/6))</f>
        <v/>
      </c>
    </row>
    <row r="7">
      <c r="A7" s="20">
        <f>IF(Questions!A5="","",Questions!A5)</f>
        <v/>
      </c>
      <c r="B7" s="20">
        <f>IF($A7="","",COUNTIF(Rater_1!B6,"easy")+COUNTIF(Rater_2!B6,"easy")+COUNTIF(Rater_3!B6,"easy"))</f>
        <v/>
      </c>
      <c r="C7" s="20">
        <f>IF($A7="","",COUNTIF(Rater_1!B6,"medium")+COUNTIF(Rater_2!B6,"medium")+COUNTIF(Rater_3!B6,"medium"))</f>
        <v/>
      </c>
      <c r="D7" s="20">
        <f>IF($A7="","",COUNTIF(Rater_1!B6,"hard")+COUNTIF(Rater_2!B6,"hard")+COUNTIF(Rater_3!B6,"hard"))</f>
        <v/>
      </c>
      <c r="E7" s="20">
        <f>IF($A7="","",IF(SUM(B7:D7)&lt;3,"incomplete",IF(MAX(B7:D7)&lt;2,"no majority",INDEX({"easy","medium","hard"},MATCH(MAX(B7:D7),B7:D7,0)))))</f>
        <v/>
      </c>
      <c r="F7" s="20">
        <f>IF($A7="","",IF(SUM(B7:D7)&lt;3,"",IF(MAX(B7:D7)=3,"full",IF(MAX(B7:D7)=2,"partial","none"))))</f>
        <v/>
      </c>
      <c r="G7" s="21">
        <f>IF($A7="","",IFERROR(AVERAGE(Rater_1!C6:F6,Rater_2!C6:F6,Rater_3!C6:F6),""))</f>
        <v/>
      </c>
      <c r="H7" s="22">
        <f>IF($A7="","",IF(SUM(B7:D7)&lt;3,"",(B7^2+C7^2+D7^2-3)/6))</f>
        <v/>
      </c>
    </row>
    <row r="8">
      <c r="A8" s="20">
        <f>IF(Questions!A6="","",Questions!A6)</f>
        <v/>
      </c>
      <c r="B8" s="20">
        <f>IF($A8="","",COUNTIF(Rater_1!B7,"easy")+COUNTIF(Rater_2!B7,"easy")+COUNTIF(Rater_3!B7,"easy"))</f>
        <v/>
      </c>
      <c r="C8" s="20">
        <f>IF($A8="","",COUNTIF(Rater_1!B7,"medium")+COUNTIF(Rater_2!B7,"medium")+COUNTIF(Rater_3!B7,"medium"))</f>
        <v/>
      </c>
      <c r="D8" s="20">
        <f>IF($A8="","",COUNTIF(Rater_1!B7,"hard")+COUNTIF(Rater_2!B7,"hard")+COUNTIF(Rater_3!B7,"hard"))</f>
        <v/>
      </c>
      <c r="E8" s="20">
        <f>IF($A8="","",IF(SUM(B8:D8)&lt;3,"incomplete",IF(MAX(B8:D8)&lt;2,"no majority",INDEX({"easy","medium","hard"},MATCH(MAX(B8:D8),B8:D8,0)))))</f>
        <v/>
      </c>
      <c r="F8" s="20">
        <f>IF($A8="","",IF(SUM(B8:D8)&lt;3,"",IF(MAX(B8:D8)=3,"full",IF(MAX(B8:D8)=2,"partial","none"))))</f>
        <v/>
      </c>
      <c r="G8" s="21">
        <f>IF($A8="","",IFERROR(AVERAGE(Rater_1!C7:F7,Rater_2!C7:F7,Rater_3!C7:F7),""))</f>
        <v/>
      </c>
      <c r="H8" s="22">
        <f>IF($A8="","",IF(SUM(B8:D8)&lt;3,"",(B8^2+C8^2+D8^2-3)/6))</f>
        <v/>
      </c>
    </row>
    <row r="9">
      <c r="A9" s="20">
        <f>IF(Questions!A7="","",Questions!A7)</f>
        <v/>
      </c>
      <c r="B9" s="20">
        <f>IF($A9="","",COUNTIF(Rater_1!B8,"easy")+COUNTIF(Rater_2!B8,"easy")+COUNTIF(Rater_3!B8,"easy"))</f>
        <v/>
      </c>
      <c r="C9" s="20">
        <f>IF($A9="","",COUNTIF(Rater_1!B8,"medium")+COUNTIF(Rater_2!B8,"medium")+COUNTIF(Rater_3!B8,"medium"))</f>
        <v/>
      </c>
      <c r="D9" s="20">
        <f>IF($A9="","",COUNTIF(Rater_1!B8,"hard")+COUNTIF(Rater_2!B8,"hard")+COUNTIF(Rater_3!B8,"hard"))</f>
        <v/>
      </c>
      <c r="E9" s="20">
        <f>IF($A9="","",IF(SUM(B9:D9)&lt;3,"incomplete",IF(MAX(B9:D9)&lt;2,"no majority",INDEX({"easy","medium","hard"},MATCH(MAX(B9:D9),B9:D9,0)))))</f>
        <v/>
      </c>
      <c r="F9" s="20">
        <f>IF($A9="","",IF(SUM(B9:D9)&lt;3,"",IF(MAX(B9:D9)=3,"full",IF(MAX(B9:D9)=2,"partial","none"))))</f>
        <v/>
      </c>
      <c r="G9" s="21">
        <f>IF($A9="","",IFERROR(AVERAGE(Rater_1!C8:F8,Rater_2!C8:F8,Rater_3!C8:F8),""))</f>
        <v/>
      </c>
      <c r="H9" s="22">
        <f>IF($A9="","",IF(SUM(B9:D9)&lt;3,"",(B9^2+C9^2+D9^2-3)/6))</f>
        <v/>
      </c>
    </row>
    <row r="10">
      <c r="A10" s="20">
        <f>IF(Questions!A8="","",Questions!A8)</f>
        <v/>
      </c>
      <c r="B10" s="20">
        <f>IF($A10="","",COUNTIF(Rater_1!B9,"easy")+COUNTIF(Rater_2!B9,"easy")+COUNTIF(Rater_3!B9,"easy"))</f>
        <v/>
      </c>
      <c r="C10" s="20">
        <f>IF($A10="","",COUNTIF(Rater_1!B9,"medium")+COUNTIF(Rater_2!B9,"medium")+COUNTIF(Rater_3!B9,"medium"))</f>
        <v/>
      </c>
      <c r="D10" s="20">
        <f>IF($A10="","",COUNTIF(Rater_1!B9,"hard")+COUNTIF(Rater_2!B9,"hard")+COUNTIF(Rater_3!B9,"hard"))</f>
        <v/>
      </c>
      <c r="E10" s="20">
        <f>IF($A10="","",IF(SUM(B10:D10)&lt;3,"incomplete",IF(MAX(B10:D10)&lt;2,"no majority",INDEX({"easy","medium","hard"},MATCH(MAX(B10:D10),B10:D10,0)))))</f>
        <v/>
      </c>
      <c r="F10" s="20">
        <f>IF($A10="","",IF(SUM(B10:D10)&lt;3,"",IF(MAX(B10:D10)=3,"full",IF(MAX(B10:D10)=2,"partial","none"))))</f>
        <v/>
      </c>
      <c r="G10" s="21">
        <f>IF($A10="","",IFERROR(AVERAGE(Rater_1!C9:F9,Rater_2!C9:F9,Rater_3!C9:F9),""))</f>
        <v/>
      </c>
      <c r="H10" s="22">
        <f>IF($A10="","",IF(SUM(B10:D10)&lt;3,"",(B10^2+C10^2+D10^2-3)/6))</f>
        <v/>
      </c>
    </row>
    <row r="11">
      <c r="A11" s="20">
        <f>IF(Questions!A9="","",Questions!A9)</f>
        <v/>
      </c>
      <c r="B11" s="20">
        <f>IF($A11="","",COUNTIF(Rater_1!B10,"easy")+COUNTIF(Rater_2!B10,"easy")+COUNTIF(Rater_3!B10,"easy"))</f>
        <v/>
      </c>
      <c r="C11" s="20">
        <f>IF($A11="","",COUNTIF(Rater_1!B10,"medium")+COUNTIF(Rater_2!B10,"medium")+COUNTIF(Rater_3!B10,"medium"))</f>
        <v/>
      </c>
      <c r="D11" s="20">
        <f>IF($A11="","",COUNTIF(Rater_1!B10,"hard")+COUNTIF(Rater_2!B10,"hard")+COUNTIF(Rater_3!B10,"hard"))</f>
        <v/>
      </c>
      <c r="E11" s="20">
        <f>IF($A11="","",IF(SUM(B11:D11)&lt;3,"incomplete",IF(MAX(B11:D11)&lt;2,"no majority",INDEX({"easy","medium","hard"},MATCH(MAX(B11:D11),B11:D11,0)))))</f>
        <v/>
      </c>
      <c r="F11" s="20">
        <f>IF($A11="","",IF(SUM(B11:D11)&lt;3,"",IF(MAX(B11:D11)=3,"full",IF(MAX(B11:D11)=2,"partial","none"))))</f>
        <v/>
      </c>
      <c r="G11" s="21">
        <f>IF($A11="","",IFERROR(AVERAGE(Rater_1!C10:F10,Rater_2!C10:F10,Rater_3!C10:F10),""))</f>
        <v/>
      </c>
      <c r="H11" s="22">
        <f>IF($A11="","",IF(SUM(B11:D11)&lt;3,"",(B11^2+C11^2+D11^2-3)/6))</f>
        <v/>
      </c>
    </row>
    <row r="12">
      <c r="A12" s="20">
        <f>IF(Questions!A10="","",Questions!A10)</f>
        <v/>
      </c>
      <c r="B12" s="20">
        <f>IF($A12="","",COUNTIF(Rater_1!B11,"easy")+COUNTIF(Rater_2!B11,"easy")+COUNTIF(Rater_3!B11,"easy"))</f>
        <v/>
      </c>
      <c r="C12" s="20">
        <f>IF($A12="","",COUNTIF(Rater_1!B11,"medium")+COUNTIF(Rater_2!B11,"medium")+COUNTIF(Rater_3!B11,"medium"))</f>
        <v/>
      </c>
      <c r="D12" s="20">
        <f>IF($A12="","",COUNTIF(Rater_1!B11,"hard")+COUNTIF(Rater_2!B11,"hard")+COUNTIF(Rater_3!B11,"hard"))</f>
        <v/>
      </c>
      <c r="E12" s="20">
        <f>IF($A12="","",IF(SUM(B12:D12)&lt;3,"incomplete",IF(MAX(B12:D12)&lt;2,"no majority",INDEX({"easy","medium","hard"},MATCH(MAX(B12:D12),B12:D12,0)))))</f>
        <v/>
      </c>
      <c r="F12" s="20">
        <f>IF($A12="","",IF(SUM(B12:D12)&lt;3,"",IF(MAX(B12:D12)=3,"full",IF(MAX(B12:D12)=2,"partial","none"))))</f>
        <v/>
      </c>
      <c r="G12" s="21">
        <f>IF($A12="","",IFERROR(AVERAGE(Rater_1!C11:F11,Rater_2!C11:F11,Rater_3!C11:F11),""))</f>
        <v/>
      </c>
      <c r="H12" s="22">
        <f>IF($A12="","",IF(SUM(B12:D12)&lt;3,"",(B12^2+C12^2+D12^2-3)/6))</f>
        <v/>
      </c>
    </row>
    <row r="13">
      <c r="A13" s="20">
        <f>IF(Questions!A11="","",Questions!A11)</f>
        <v/>
      </c>
      <c r="B13" s="20">
        <f>IF($A13="","",COUNTIF(Rater_1!B12,"easy")+COUNTIF(Rater_2!B12,"easy")+COUNTIF(Rater_3!B12,"easy"))</f>
        <v/>
      </c>
      <c r="C13" s="20">
        <f>IF($A13="","",COUNTIF(Rater_1!B12,"medium")+COUNTIF(Rater_2!B12,"medium")+COUNTIF(Rater_3!B12,"medium"))</f>
        <v/>
      </c>
      <c r="D13" s="20">
        <f>IF($A13="","",COUNTIF(Rater_1!B12,"hard")+COUNTIF(Rater_2!B12,"hard")+COUNTIF(Rater_3!B12,"hard"))</f>
        <v/>
      </c>
      <c r="E13" s="20">
        <f>IF($A13="","",IF(SUM(B13:D13)&lt;3,"incomplete",IF(MAX(B13:D13)&lt;2,"no majority",INDEX({"easy","medium","hard"},MATCH(MAX(B13:D13),B13:D13,0)))))</f>
        <v/>
      </c>
      <c r="F13" s="20">
        <f>IF($A13="","",IF(SUM(B13:D13)&lt;3,"",IF(MAX(B13:D13)=3,"full",IF(MAX(B13:D13)=2,"partial","none"))))</f>
        <v/>
      </c>
      <c r="G13" s="21">
        <f>IF($A13="","",IFERROR(AVERAGE(Rater_1!C12:F12,Rater_2!C12:F12,Rater_3!C12:F12),""))</f>
        <v/>
      </c>
      <c r="H13" s="22">
        <f>IF($A13="","",IF(SUM(B13:D13)&lt;3,"",(B13^2+C13^2+D13^2-3)/6))</f>
        <v/>
      </c>
    </row>
    <row r="14">
      <c r="A14" s="20">
        <f>IF(Questions!A12="","",Questions!A12)</f>
        <v/>
      </c>
      <c r="B14" s="20">
        <f>IF($A14="","",COUNTIF(Rater_1!B13,"easy")+COUNTIF(Rater_2!B13,"easy")+COUNTIF(Rater_3!B13,"easy"))</f>
        <v/>
      </c>
      <c r="C14" s="20">
        <f>IF($A14="","",COUNTIF(Rater_1!B13,"medium")+COUNTIF(Rater_2!B13,"medium")+COUNTIF(Rater_3!B13,"medium"))</f>
        <v/>
      </c>
      <c r="D14" s="20">
        <f>IF($A14="","",COUNTIF(Rater_1!B13,"hard")+COUNTIF(Rater_2!B13,"hard")+COUNTIF(Rater_3!B13,"hard"))</f>
        <v/>
      </c>
      <c r="E14" s="20">
        <f>IF($A14="","",IF(SUM(B14:D14)&lt;3,"incomplete",IF(MAX(B14:D14)&lt;2,"no majority",INDEX({"easy","medium","hard"},MATCH(MAX(B14:D14),B14:D14,0)))))</f>
        <v/>
      </c>
      <c r="F14" s="20">
        <f>IF($A14="","",IF(SUM(B14:D14)&lt;3,"",IF(MAX(B14:D14)=3,"full",IF(MAX(B14:D14)=2,"partial","none"))))</f>
        <v/>
      </c>
      <c r="G14" s="21">
        <f>IF($A14="","",IFERROR(AVERAGE(Rater_1!C13:F13,Rater_2!C13:F13,Rater_3!C13:F13),""))</f>
        <v/>
      </c>
      <c r="H14" s="22">
        <f>IF($A14="","",IF(SUM(B14:D14)&lt;3,"",(B14^2+C14^2+D14^2-3)/6))</f>
        <v/>
      </c>
    </row>
    <row r="15">
      <c r="A15" s="20">
        <f>IF(Questions!A13="","",Questions!A13)</f>
        <v/>
      </c>
      <c r="B15" s="20">
        <f>IF($A15="","",COUNTIF(Rater_1!B14,"easy")+COUNTIF(Rater_2!B14,"easy")+COUNTIF(Rater_3!B14,"easy"))</f>
        <v/>
      </c>
      <c r="C15" s="20">
        <f>IF($A15="","",COUNTIF(Rater_1!B14,"medium")+COUNTIF(Rater_2!B14,"medium")+COUNTIF(Rater_3!B14,"medium"))</f>
        <v/>
      </c>
      <c r="D15" s="20">
        <f>IF($A15="","",COUNTIF(Rater_1!B14,"hard")+COUNTIF(Rater_2!B14,"hard")+COUNTIF(Rater_3!B14,"hard"))</f>
        <v/>
      </c>
      <c r="E15" s="20">
        <f>IF($A15="","",IF(SUM(B15:D15)&lt;3,"incomplete",IF(MAX(B15:D15)&lt;2,"no majority",INDEX({"easy","medium","hard"},MATCH(MAX(B15:D15),B15:D15,0)))))</f>
        <v/>
      </c>
      <c r="F15" s="20">
        <f>IF($A15="","",IF(SUM(B15:D15)&lt;3,"",IF(MAX(B15:D15)=3,"full",IF(MAX(B15:D15)=2,"partial","none"))))</f>
        <v/>
      </c>
      <c r="G15" s="21">
        <f>IF($A15="","",IFERROR(AVERAGE(Rater_1!C14:F14,Rater_2!C14:F14,Rater_3!C14:F14),""))</f>
        <v/>
      </c>
      <c r="H15" s="22">
        <f>IF($A15="","",IF(SUM(B15:D15)&lt;3,"",(B15^2+C15^2+D15^2-3)/6))</f>
        <v/>
      </c>
    </row>
    <row r="16">
      <c r="A16" s="20">
        <f>IF(Questions!A14="","",Questions!A14)</f>
        <v/>
      </c>
      <c r="B16" s="20">
        <f>IF($A16="","",COUNTIF(Rater_1!B15,"easy")+COUNTIF(Rater_2!B15,"easy")+COUNTIF(Rater_3!B15,"easy"))</f>
        <v/>
      </c>
      <c r="C16" s="20">
        <f>IF($A16="","",COUNTIF(Rater_1!B15,"medium")+COUNTIF(Rater_2!B15,"medium")+COUNTIF(Rater_3!B15,"medium"))</f>
        <v/>
      </c>
      <c r="D16" s="20">
        <f>IF($A16="","",COUNTIF(Rater_1!B15,"hard")+COUNTIF(Rater_2!B15,"hard")+COUNTIF(Rater_3!B15,"hard"))</f>
        <v/>
      </c>
      <c r="E16" s="20">
        <f>IF($A16="","",IF(SUM(B16:D16)&lt;3,"incomplete",IF(MAX(B16:D16)&lt;2,"no majority",INDEX({"easy","medium","hard"},MATCH(MAX(B16:D16),B16:D16,0)))))</f>
        <v/>
      </c>
      <c r="F16" s="20">
        <f>IF($A16="","",IF(SUM(B16:D16)&lt;3,"",IF(MAX(B16:D16)=3,"full",IF(MAX(B16:D16)=2,"partial","none"))))</f>
        <v/>
      </c>
      <c r="G16" s="21">
        <f>IF($A16="","",IFERROR(AVERAGE(Rater_1!C15:F15,Rater_2!C15:F15,Rater_3!C15:F15),""))</f>
        <v/>
      </c>
      <c r="H16" s="22">
        <f>IF($A16="","",IF(SUM(B16:D16)&lt;3,"",(B16^2+C16^2+D16^2-3)/6))</f>
        <v/>
      </c>
    </row>
    <row r="17">
      <c r="A17" s="20">
        <f>IF(Questions!A15="","",Questions!A15)</f>
        <v/>
      </c>
      <c r="B17" s="20">
        <f>IF($A17="","",COUNTIF(Rater_1!B16,"easy")+COUNTIF(Rater_2!B16,"easy")+COUNTIF(Rater_3!B16,"easy"))</f>
        <v/>
      </c>
      <c r="C17" s="20">
        <f>IF($A17="","",COUNTIF(Rater_1!B16,"medium")+COUNTIF(Rater_2!B16,"medium")+COUNTIF(Rater_3!B16,"medium"))</f>
        <v/>
      </c>
      <c r="D17" s="20">
        <f>IF($A17="","",COUNTIF(Rater_1!B16,"hard")+COUNTIF(Rater_2!B16,"hard")+COUNTIF(Rater_3!B16,"hard"))</f>
        <v/>
      </c>
      <c r="E17" s="20">
        <f>IF($A17="","",IF(SUM(B17:D17)&lt;3,"incomplete",IF(MAX(B17:D17)&lt;2,"no majority",INDEX({"easy","medium","hard"},MATCH(MAX(B17:D17),B17:D17,0)))))</f>
        <v/>
      </c>
      <c r="F17" s="20">
        <f>IF($A17="","",IF(SUM(B17:D17)&lt;3,"",IF(MAX(B17:D17)=3,"full",IF(MAX(B17:D17)=2,"partial","none"))))</f>
        <v/>
      </c>
      <c r="G17" s="21">
        <f>IF($A17="","",IFERROR(AVERAGE(Rater_1!C16:F16,Rater_2!C16:F16,Rater_3!C16:F16),""))</f>
        <v/>
      </c>
      <c r="H17" s="22">
        <f>IF($A17="","",IF(SUM(B17:D17)&lt;3,"",(B17^2+C17^2+D17^2-3)/6))</f>
        <v/>
      </c>
    </row>
    <row r="18">
      <c r="A18" s="20">
        <f>IF(Questions!A16="","",Questions!A16)</f>
        <v/>
      </c>
      <c r="B18" s="20">
        <f>IF($A18="","",COUNTIF(Rater_1!B17,"easy")+COUNTIF(Rater_2!B17,"easy")+COUNTIF(Rater_3!B17,"easy"))</f>
        <v/>
      </c>
      <c r="C18" s="20">
        <f>IF($A18="","",COUNTIF(Rater_1!B17,"medium")+COUNTIF(Rater_2!B17,"medium")+COUNTIF(Rater_3!B17,"medium"))</f>
        <v/>
      </c>
      <c r="D18" s="20">
        <f>IF($A18="","",COUNTIF(Rater_1!B17,"hard")+COUNTIF(Rater_2!B17,"hard")+COUNTIF(Rater_3!B17,"hard"))</f>
        <v/>
      </c>
      <c r="E18" s="20">
        <f>IF($A18="","",IF(SUM(B18:D18)&lt;3,"incomplete",IF(MAX(B18:D18)&lt;2,"no majority",INDEX({"easy","medium","hard"},MATCH(MAX(B18:D18),B18:D18,0)))))</f>
        <v/>
      </c>
      <c r="F18" s="20">
        <f>IF($A18="","",IF(SUM(B18:D18)&lt;3,"",IF(MAX(B18:D18)=3,"full",IF(MAX(B18:D18)=2,"partial","none"))))</f>
        <v/>
      </c>
      <c r="G18" s="21">
        <f>IF($A18="","",IFERROR(AVERAGE(Rater_1!C17:F17,Rater_2!C17:F17,Rater_3!C17:F17),""))</f>
        <v/>
      </c>
      <c r="H18" s="22">
        <f>IF($A18="","",IF(SUM(B18:D18)&lt;3,"",(B18^2+C18^2+D18^2-3)/6))</f>
        <v/>
      </c>
    </row>
    <row r="19">
      <c r="A19" s="20">
        <f>IF(Questions!A17="","",Questions!A17)</f>
        <v/>
      </c>
      <c r="B19" s="20">
        <f>IF($A19="","",COUNTIF(Rater_1!B18,"easy")+COUNTIF(Rater_2!B18,"easy")+COUNTIF(Rater_3!B18,"easy"))</f>
        <v/>
      </c>
      <c r="C19" s="20">
        <f>IF($A19="","",COUNTIF(Rater_1!B18,"medium")+COUNTIF(Rater_2!B18,"medium")+COUNTIF(Rater_3!B18,"medium"))</f>
        <v/>
      </c>
      <c r="D19" s="20">
        <f>IF($A19="","",COUNTIF(Rater_1!B18,"hard")+COUNTIF(Rater_2!B18,"hard")+COUNTIF(Rater_3!B18,"hard"))</f>
        <v/>
      </c>
      <c r="E19" s="20">
        <f>IF($A19="","",IF(SUM(B19:D19)&lt;3,"incomplete",IF(MAX(B19:D19)&lt;2,"no majority",INDEX({"easy","medium","hard"},MATCH(MAX(B19:D19),B19:D19,0)))))</f>
        <v/>
      </c>
      <c r="F19" s="20">
        <f>IF($A19="","",IF(SUM(B19:D19)&lt;3,"",IF(MAX(B19:D19)=3,"full",IF(MAX(B19:D19)=2,"partial","none"))))</f>
        <v/>
      </c>
      <c r="G19" s="21">
        <f>IF($A19="","",IFERROR(AVERAGE(Rater_1!C18:F18,Rater_2!C18:F18,Rater_3!C18:F18),""))</f>
        <v/>
      </c>
      <c r="H19" s="22">
        <f>IF($A19="","",IF(SUM(B19:D19)&lt;3,"",(B19^2+C19^2+D19^2-3)/6))</f>
        <v/>
      </c>
    </row>
    <row r="20">
      <c r="A20" s="20">
        <f>IF(Questions!A18="","",Questions!A18)</f>
        <v/>
      </c>
      <c r="B20" s="20">
        <f>IF($A20="","",COUNTIF(Rater_1!B19,"easy")+COUNTIF(Rater_2!B19,"easy")+COUNTIF(Rater_3!B19,"easy"))</f>
        <v/>
      </c>
      <c r="C20" s="20">
        <f>IF($A20="","",COUNTIF(Rater_1!B19,"medium")+COUNTIF(Rater_2!B19,"medium")+COUNTIF(Rater_3!B19,"medium"))</f>
        <v/>
      </c>
      <c r="D20" s="20">
        <f>IF($A20="","",COUNTIF(Rater_1!B19,"hard")+COUNTIF(Rater_2!B19,"hard")+COUNTIF(Rater_3!B19,"hard"))</f>
        <v/>
      </c>
      <c r="E20" s="20">
        <f>IF($A20="","",IF(SUM(B20:D20)&lt;3,"incomplete",IF(MAX(B20:D20)&lt;2,"no majority",INDEX({"easy","medium","hard"},MATCH(MAX(B20:D20),B20:D20,0)))))</f>
        <v/>
      </c>
      <c r="F20" s="20">
        <f>IF($A20="","",IF(SUM(B20:D20)&lt;3,"",IF(MAX(B20:D20)=3,"full",IF(MAX(B20:D20)=2,"partial","none"))))</f>
        <v/>
      </c>
      <c r="G20" s="21">
        <f>IF($A20="","",IFERROR(AVERAGE(Rater_1!C19:F19,Rater_2!C19:F19,Rater_3!C19:F19),""))</f>
        <v/>
      </c>
      <c r="H20" s="22">
        <f>IF($A20="","",IF(SUM(B20:D20)&lt;3,"",(B20^2+C20^2+D20^2-3)/6))</f>
        <v/>
      </c>
    </row>
    <row r="21">
      <c r="A21" s="20">
        <f>IF(Questions!A19="","",Questions!A19)</f>
        <v/>
      </c>
      <c r="B21" s="20">
        <f>IF($A21="","",COUNTIF(Rater_1!B20,"easy")+COUNTIF(Rater_2!B20,"easy")+COUNTIF(Rater_3!B20,"easy"))</f>
        <v/>
      </c>
      <c r="C21" s="20">
        <f>IF($A21="","",COUNTIF(Rater_1!B20,"medium")+COUNTIF(Rater_2!B20,"medium")+COUNTIF(Rater_3!B20,"medium"))</f>
        <v/>
      </c>
      <c r="D21" s="20">
        <f>IF($A21="","",COUNTIF(Rater_1!B20,"hard")+COUNTIF(Rater_2!B20,"hard")+COUNTIF(Rater_3!B20,"hard"))</f>
        <v/>
      </c>
      <c r="E21" s="20">
        <f>IF($A21="","",IF(SUM(B21:D21)&lt;3,"incomplete",IF(MAX(B21:D21)&lt;2,"no majority",INDEX({"easy","medium","hard"},MATCH(MAX(B21:D21),B21:D21,0)))))</f>
        <v/>
      </c>
      <c r="F21" s="20">
        <f>IF($A21="","",IF(SUM(B21:D21)&lt;3,"",IF(MAX(B21:D21)=3,"full",IF(MAX(B21:D21)=2,"partial","none"))))</f>
        <v/>
      </c>
      <c r="G21" s="21">
        <f>IF($A21="","",IFERROR(AVERAGE(Rater_1!C20:F20,Rater_2!C20:F20,Rater_3!C20:F20),""))</f>
        <v/>
      </c>
      <c r="H21" s="22">
        <f>IF($A21="","",IF(SUM(B21:D21)&lt;3,"",(B21^2+C21^2+D21^2-3)/6))</f>
        <v/>
      </c>
    </row>
    <row r="22">
      <c r="A22" s="20">
        <f>IF(Questions!A20="","",Questions!A20)</f>
        <v/>
      </c>
      <c r="B22" s="20">
        <f>IF($A22="","",COUNTIF(Rater_1!B21,"easy")+COUNTIF(Rater_2!B21,"easy")+COUNTIF(Rater_3!B21,"easy"))</f>
        <v/>
      </c>
      <c r="C22" s="20">
        <f>IF($A22="","",COUNTIF(Rater_1!B21,"medium")+COUNTIF(Rater_2!B21,"medium")+COUNTIF(Rater_3!B21,"medium"))</f>
        <v/>
      </c>
      <c r="D22" s="20">
        <f>IF($A22="","",COUNTIF(Rater_1!B21,"hard")+COUNTIF(Rater_2!B21,"hard")+COUNTIF(Rater_3!B21,"hard"))</f>
        <v/>
      </c>
      <c r="E22" s="20">
        <f>IF($A22="","",IF(SUM(B22:D22)&lt;3,"incomplete",IF(MAX(B22:D22)&lt;2,"no majority",INDEX({"easy","medium","hard"},MATCH(MAX(B22:D22),B22:D22,0)))))</f>
        <v/>
      </c>
      <c r="F22" s="20">
        <f>IF($A22="","",IF(SUM(B22:D22)&lt;3,"",IF(MAX(B22:D22)=3,"full",IF(MAX(B22:D22)=2,"partial","none"))))</f>
        <v/>
      </c>
      <c r="G22" s="21">
        <f>IF($A22="","",IFERROR(AVERAGE(Rater_1!C21:F21,Rater_2!C21:F21,Rater_3!C21:F21),""))</f>
        <v/>
      </c>
      <c r="H22" s="22">
        <f>IF($A22="","",IF(SUM(B22:D22)&lt;3,"",(B22^2+C22^2+D22^2-3)/6))</f>
        <v/>
      </c>
    </row>
    <row r="23">
      <c r="A23" s="20">
        <f>IF(Questions!A21="","",Questions!A21)</f>
        <v/>
      </c>
      <c r="B23" s="20">
        <f>IF($A23="","",COUNTIF(Rater_1!B22,"easy")+COUNTIF(Rater_2!B22,"easy")+COUNTIF(Rater_3!B22,"easy"))</f>
        <v/>
      </c>
      <c r="C23" s="20">
        <f>IF($A23="","",COUNTIF(Rater_1!B22,"medium")+COUNTIF(Rater_2!B22,"medium")+COUNTIF(Rater_3!B22,"medium"))</f>
        <v/>
      </c>
      <c r="D23" s="20">
        <f>IF($A23="","",COUNTIF(Rater_1!B22,"hard")+COUNTIF(Rater_2!B22,"hard")+COUNTIF(Rater_3!B22,"hard"))</f>
        <v/>
      </c>
      <c r="E23" s="20">
        <f>IF($A23="","",IF(SUM(B23:D23)&lt;3,"incomplete",IF(MAX(B23:D23)&lt;2,"no majority",INDEX({"easy","medium","hard"},MATCH(MAX(B23:D23),B23:D23,0)))))</f>
        <v/>
      </c>
      <c r="F23" s="20">
        <f>IF($A23="","",IF(SUM(B23:D23)&lt;3,"",IF(MAX(B23:D23)=3,"full",IF(MAX(B23:D23)=2,"partial","none"))))</f>
        <v/>
      </c>
      <c r="G23" s="21">
        <f>IF($A23="","",IFERROR(AVERAGE(Rater_1!C22:F22,Rater_2!C22:F22,Rater_3!C22:F22),""))</f>
        <v/>
      </c>
      <c r="H23" s="22">
        <f>IF($A23="","",IF(SUM(B23:D23)&lt;3,"",(B23^2+C23^2+D23^2-3)/6))</f>
        <v/>
      </c>
    </row>
    <row r="24">
      <c r="A24" s="20">
        <f>IF(Questions!A22="","",Questions!A22)</f>
        <v/>
      </c>
      <c r="B24" s="20">
        <f>IF($A24="","",COUNTIF(Rater_1!B23,"easy")+COUNTIF(Rater_2!B23,"easy")+COUNTIF(Rater_3!B23,"easy"))</f>
        <v/>
      </c>
      <c r="C24" s="20">
        <f>IF($A24="","",COUNTIF(Rater_1!B23,"medium")+COUNTIF(Rater_2!B23,"medium")+COUNTIF(Rater_3!B23,"medium"))</f>
        <v/>
      </c>
      <c r="D24" s="20">
        <f>IF($A24="","",COUNTIF(Rater_1!B23,"hard")+COUNTIF(Rater_2!B23,"hard")+COUNTIF(Rater_3!B23,"hard"))</f>
        <v/>
      </c>
      <c r="E24" s="20">
        <f>IF($A24="","",IF(SUM(B24:D24)&lt;3,"incomplete",IF(MAX(B24:D24)&lt;2,"no majority",INDEX({"easy","medium","hard"},MATCH(MAX(B24:D24),B24:D24,0)))))</f>
        <v/>
      </c>
      <c r="F24" s="20">
        <f>IF($A24="","",IF(SUM(B24:D24)&lt;3,"",IF(MAX(B24:D24)=3,"full",IF(MAX(B24:D24)=2,"partial","none"))))</f>
        <v/>
      </c>
      <c r="G24" s="21">
        <f>IF($A24="","",IFERROR(AVERAGE(Rater_1!C23:F23,Rater_2!C23:F23,Rater_3!C23:F23),""))</f>
        <v/>
      </c>
      <c r="H24" s="22">
        <f>IF($A24="","",IF(SUM(B24:D24)&lt;3,"",(B24^2+C24^2+D24^2-3)/6))</f>
        <v/>
      </c>
    </row>
    <row r="25">
      <c r="A25" s="20">
        <f>IF(Questions!A23="","",Questions!A23)</f>
        <v/>
      </c>
      <c r="B25" s="20">
        <f>IF($A25="","",COUNTIF(Rater_1!B24,"easy")+COUNTIF(Rater_2!B24,"easy")+COUNTIF(Rater_3!B24,"easy"))</f>
        <v/>
      </c>
      <c r="C25" s="20">
        <f>IF($A25="","",COUNTIF(Rater_1!B24,"medium")+COUNTIF(Rater_2!B24,"medium")+COUNTIF(Rater_3!B24,"medium"))</f>
        <v/>
      </c>
      <c r="D25" s="20">
        <f>IF($A25="","",COUNTIF(Rater_1!B24,"hard")+COUNTIF(Rater_2!B24,"hard")+COUNTIF(Rater_3!B24,"hard"))</f>
        <v/>
      </c>
      <c r="E25" s="20">
        <f>IF($A25="","",IF(SUM(B25:D25)&lt;3,"incomplete",IF(MAX(B25:D25)&lt;2,"no majority",INDEX({"easy","medium","hard"},MATCH(MAX(B25:D25),B25:D25,0)))))</f>
        <v/>
      </c>
      <c r="F25" s="20">
        <f>IF($A25="","",IF(SUM(B25:D25)&lt;3,"",IF(MAX(B25:D25)=3,"full",IF(MAX(B25:D25)=2,"partial","none"))))</f>
        <v/>
      </c>
      <c r="G25" s="21">
        <f>IF($A25="","",IFERROR(AVERAGE(Rater_1!C24:F24,Rater_2!C24:F24,Rater_3!C24:F24),""))</f>
        <v/>
      </c>
      <c r="H25" s="22">
        <f>IF($A25="","",IF(SUM(B25:D25)&lt;3,"",(B25^2+C25^2+D25^2-3)/6))</f>
        <v/>
      </c>
    </row>
    <row r="26">
      <c r="A26" s="20">
        <f>IF(Questions!A24="","",Questions!A24)</f>
        <v/>
      </c>
      <c r="B26" s="20">
        <f>IF($A26="","",COUNTIF(Rater_1!B25,"easy")+COUNTIF(Rater_2!B25,"easy")+COUNTIF(Rater_3!B25,"easy"))</f>
        <v/>
      </c>
      <c r="C26" s="20">
        <f>IF($A26="","",COUNTIF(Rater_1!B25,"medium")+COUNTIF(Rater_2!B25,"medium")+COUNTIF(Rater_3!B25,"medium"))</f>
        <v/>
      </c>
      <c r="D26" s="20">
        <f>IF($A26="","",COUNTIF(Rater_1!B25,"hard")+COUNTIF(Rater_2!B25,"hard")+COUNTIF(Rater_3!B25,"hard"))</f>
        <v/>
      </c>
      <c r="E26" s="20">
        <f>IF($A26="","",IF(SUM(B26:D26)&lt;3,"incomplete",IF(MAX(B26:D26)&lt;2,"no majority",INDEX({"easy","medium","hard"},MATCH(MAX(B26:D26),B26:D26,0)))))</f>
        <v/>
      </c>
      <c r="F26" s="20">
        <f>IF($A26="","",IF(SUM(B26:D26)&lt;3,"",IF(MAX(B26:D26)=3,"full",IF(MAX(B26:D26)=2,"partial","none"))))</f>
        <v/>
      </c>
      <c r="G26" s="21">
        <f>IF($A26="","",IFERROR(AVERAGE(Rater_1!C25:F25,Rater_2!C25:F25,Rater_3!C25:F25),""))</f>
        <v/>
      </c>
      <c r="H26" s="22">
        <f>IF($A26="","",IF(SUM(B26:D26)&lt;3,"",(B26^2+C26^2+D26^2-3)/6))</f>
        <v/>
      </c>
    </row>
    <row r="27">
      <c r="A27" s="20">
        <f>IF(Questions!A25="","",Questions!A25)</f>
        <v/>
      </c>
      <c r="B27" s="20">
        <f>IF($A27="","",COUNTIF(Rater_1!B26,"easy")+COUNTIF(Rater_2!B26,"easy")+COUNTIF(Rater_3!B26,"easy"))</f>
        <v/>
      </c>
      <c r="C27" s="20">
        <f>IF($A27="","",COUNTIF(Rater_1!B26,"medium")+COUNTIF(Rater_2!B26,"medium")+COUNTIF(Rater_3!B26,"medium"))</f>
        <v/>
      </c>
      <c r="D27" s="20">
        <f>IF($A27="","",COUNTIF(Rater_1!B26,"hard")+COUNTIF(Rater_2!B26,"hard")+COUNTIF(Rater_3!B26,"hard"))</f>
        <v/>
      </c>
      <c r="E27" s="20">
        <f>IF($A27="","",IF(SUM(B27:D27)&lt;3,"incomplete",IF(MAX(B27:D27)&lt;2,"no majority",INDEX({"easy","medium","hard"},MATCH(MAX(B27:D27),B27:D27,0)))))</f>
        <v/>
      </c>
      <c r="F27" s="20">
        <f>IF($A27="","",IF(SUM(B27:D27)&lt;3,"",IF(MAX(B27:D27)=3,"full",IF(MAX(B27:D27)=2,"partial","none"))))</f>
        <v/>
      </c>
      <c r="G27" s="21">
        <f>IF($A27="","",IFERROR(AVERAGE(Rater_1!C26:F26,Rater_2!C26:F26,Rater_3!C26:F26),""))</f>
        <v/>
      </c>
      <c r="H27" s="22">
        <f>IF($A27="","",IF(SUM(B27:D27)&lt;3,"",(B27^2+C27^2+D27^2-3)/6))</f>
        <v/>
      </c>
    </row>
    <row r="28">
      <c r="A28" s="20">
        <f>IF(Questions!A26="","",Questions!A26)</f>
        <v/>
      </c>
      <c r="B28" s="20">
        <f>IF($A28="","",COUNTIF(Rater_1!B27,"easy")+COUNTIF(Rater_2!B27,"easy")+COUNTIF(Rater_3!B27,"easy"))</f>
        <v/>
      </c>
      <c r="C28" s="20">
        <f>IF($A28="","",COUNTIF(Rater_1!B27,"medium")+COUNTIF(Rater_2!B27,"medium")+COUNTIF(Rater_3!B27,"medium"))</f>
        <v/>
      </c>
      <c r="D28" s="20">
        <f>IF($A28="","",COUNTIF(Rater_1!B27,"hard")+COUNTIF(Rater_2!B27,"hard")+COUNTIF(Rater_3!B27,"hard"))</f>
        <v/>
      </c>
      <c r="E28" s="20">
        <f>IF($A28="","",IF(SUM(B28:D28)&lt;3,"incomplete",IF(MAX(B28:D28)&lt;2,"no majority",INDEX({"easy","medium","hard"},MATCH(MAX(B28:D28),B28:D28,0)))))</f>
        <v/>
      </c>
      <c r="F28" s="20">
        <f>IF($A28="","",IF(SUM(B28:D28)&lt;3,"",IF(MAX(B28:D28)=3,"full",IF(MAX(B28:D28)=2,"partial","none"))))</f>
        <v/>
      </c>
      <c r="G28" s="21">
        <f>IF($A28="","",IFERROR(AVERAGE(Rater_1!C27:F27,Rater_2!C27:F27,Rater_3!C27:F27),""))</f>
        <v/>
      </c>
      <c r="H28" s="22">
        <f>IF($A28="","",IF(SUM(B28:D28)&lt;3,"",(B28^2+C28^2+D28^2-3)/6))</f>
        <v/>
      </c>
    </row>
    <row r="29">
      <c r="A29" s="20">
        <f>IF(Questions!A27="","",Questions!A27)</f>
        <v/>
      </c>
      <c r="B29" s="20">
        <f>IF($A29="","",COUNTIF(Rater_1!B28,"easy")+COUNTIF(Rater_2!B28,"easy")+COUNTIF(Rater_3!B28,"easy"))</f>
        <v/>
      </c>
      <c r="C29" s="20">
        <f>IF($A29="","",COUNTIF(Rater_1!B28,"medium")+COUNTIF(Rater_2!B28,"medium")+COUNTIF(Rater_3!B28,"medium"))</f>
        <v/>
      </c>
      <c r="D29" s="20">
        <f>IF($A29="","",COUNTIF(Rater_1!B28,"hard")+COUNTIF(Rater_2!B28,"hard")+COUNTIF(Rater_3!B28,"hard"))</f>
        <v/>
      </c>
      <c r="E29" s="20">
        <f>IF($A29="","",IF(SUM(B29:D29)&lt;3,"incomplete",IF(MAX(B29:D29)&lt;2,"no majority",INDEX({"easy","medium","hard"},MATCH(MAX(B29:D29),B29:D29,0)))))</f>
        <v/>
      </c>
      <c r="F29" s="20">
        <f>IF($A29="","",IF(SUM(B29:D29)&lt;3,"",IF(MAX(B29:D29)=3,"full",IF(MAX(B29:D29)=2,"partial","none"))))</f>
        <v/>
      </c>
      <c r="G29" s="21">
        <f>IF($A29="","",IFERROR(AVERAGE(Rater_1!C28:F28,Rater_2!C28:F28,Rater_3!C28:F28),""))</f>
        <v/>
      </c>
      <c r="H29" s="22">
        <f>IF($A29="","",IF(SUM(B29:D29)&lt;3,"",(B29^2+C29^2+D29^2-3)/6))</f>
        <v/>
      </c>
    </row>
    <row r="30">
      <c r="A30" s="20">
        <f>IF(Questions!A28="","",Questions!A28)</f>
        <v/>
      </c>
      <c r="B30" s="20">
        <f>IF($A30="","",COUNTIF(Rater_1!B29,"easy")+COUNTIF(Rater_2!B29,"easy")+COUNTIF(Rater_3!B29,"easy"))</f>
        <v/>
      </c>
      <c r="C30" s="20">
        <f>IF($A30="","",COUNTIF(Rater_1!B29,"medium")+COUNTIF(Rater_2!B29,"medium")+COUNTIF(Rater_3!B29,"medium"))</f>
        <v/>
      </c>
      <c r="D30" s="20">
        <f>IF($A30="","",COUNTIF(Rater_1!B29,"hard")+COUNTIF(Rater_2!B29,"hard")+COUNTIF(Rater_3!B29,"hard"))</f>
        <v/>
      </c>
      <c r="E30" s="20">
        <f>IF($A30="","",IF(SUM(B30:D30)&lt;3,"incomplete",IF(MAX(B30:D30)&lt;2,"no majority",INDEX({"easy","medium","hard"},MATCH(MAX(B30:D30),B30:D30,0)))))</f>
        <v/>
      </c>
      <c r="F30" s="20">
        <f>IF($A30="","",IF(SUM(B30:D30)&lt;3,"",IF(MAX(B30:D30)=3,"full",IF(MAX(B30:D30)=2,"partial","none"))))</f>
        <v/>
      </c>
      <c r="G30" s="21">
        <f>IF($A30="","",IFERROR(AVERAGE(Rater_1!C29:F29,Rater_2!C29:F29,Rater_3!C29:F29),""))</f>
        <v/>
      </c>
      <c r="H30" s="22">
        <f>IF($A30="","",IF(SUM(B30:D30)&lt;3,"",(B30^2+C30^2+D30^2-3)/6))</f>
        <v/>
      </c>
    </row>
    <row r="31">
      <c r="A31" s="20">
        <f>IF(Questions!A29="","",Questions!A29)</f>
        <v/>
      </c>
      <c r="B31" s="20">
        <f>IF($A31="","",COUNTIF(Rater_1!B30,"easy")+COUNTIF(Rater_2!B30,"easy")+COUNTIF(Rater_3!B30,"easy"))</f>
        <v/>
      </c>
      <c r="C31" s="20">
        <f>IF($A31="","",COUNTIF(Rater_1!B30,"medium")+COUNTIF(Rater_2!B30,"medium")+COUNTIF(Rater_3!B30,"medium"))</f>
        <v/>
      </c>
      <c r="D31" s="20">
        <f>IF($A31="","",COUNTIF(Rater_1!B30,"hard")+COUNTIF(Rater_2!B30,"hard")+COUNTIF(Rater_3!B30,"hard"))</f>
        <v/>
      </c>
      <c r="E31" s="20">
        <f>IF($A31="","",IF(SUM(B31:D31)&lt;3,"incomplete",IF(MAX(B31:D31)&lt;2,"no majority",INDEX({"easy","medium","hard"},MATCH(MAX(B31:D31),B31:D31,0)))))</f>
        <v/>
      </c>
      <c r="F31" s="20">
        <f>IF($A31="","",IF(SUM(B31:D31)&lt;3,"",IF(MAX(B31:D31)=3,"full",IF(MAX(B31:D31)=2,"partial","none"))))</f>
        <v/>
      </c>
      <c r="G31" s="21">
        <f>IF($A31="","",IFERROR(AVERAGE(Rater_1!C30:F30,Rater_2!C30:F30,Rater_3!C30:F30),""))</f>
        <v/>
      </c>
      <c r="H31" s="22">
        <f>IF($A31="","",IF(SUM(B31:D31)&lt;3,"",(B31^2+C31^2+D31^2-3)/6))</f>
        <v/>
      </c>
    </row>
    <row r="32">
      <c r="A32" s="20">
        <f>IF(Questions!A30="","",Questions!A30)</f>
        <v/>
      </c>
      <c r="B32" s="20">
        <f>IF($A32="","",COUNTIF(Rater_1!B31,"easy")+COUNTIF(Rater_2!B31,"easy")+COUNTIF(Rater_3!B31,"easy"))</f>
        <v/>
      </c>
      <c r="C32" s="20">
        <f>IF($A32="","",COUNTIF(Rater_1!B31,"medium")+COUNTIF(Rater_2!B31,"medium")+COUNTIF(Rater_3!B31,"medium"))</f>
        <v/>
      </c>
      <c r="D32" s="20">
        <f>IF($A32="","",COUNTIF(Rater_1!B31,"hard")+COUNTIF(Rater_2!B31,"hard")+COUNTIF(Rater_3!B31,"hard"))</f>
        <v/>
      </c>
      <c r="E32" s="20">
        <f>IF($A32="","",IF(SUM(B32:D32)&lt;3,"incomplete",IF(MAX(B32:D32)&lt;2,"no majority",INDEX({"easy","medium","hard"},MATCH(MAX(B32:D32),B32:D32,0)))))</f>
        <v/>
      </c>
      <c r="F32" s="20">
        <f>IF($A32="","",IF(SUM(B32:D32)&lt;3,"",IF(MAX(B32:D32)=3,"full",IF(MAX(B32:D32)=2,"partial","none"))))</f>
        <v/>
      </c>
      <c r="G32" s="21">
        <f>IF($A32="","",IFERROR(AVERAGE(Rater_1!C31:F31,Rater_2!C31:F31,Rater_3!C31:F31),""))</f>
        <v/>
      </c>
      <c r="H32" s="22">
        <f>IF($A32="","",IF(SUM(B32:D32)&lt;3,"",(B32^2+C32^2+D32^2-3)/6))</f>
        <v/>
      </c>
    </row>
    <row r="33">
      <c r="A33" s="20">
        <f>IF(Questions!A31="","",Questions!A31)</f>
        <v/>
      </c>
      <c r="B33" s="20">
        <f>IF($A33="","",COUNTIF(Rater_1!B32,"easy")+COUNTIF(Rater_2!B32,"easy")+COUNTIF(Rater_3!B32,"easy"))</f>
        <v/>
      </c>
      <c r="C33" s="20">
        <f>IF($A33="","",COUNTIF(Rater_1!B32,"medium")+COUNTIF(Rater_2!B32,"medium")+COUNTIF(Rater_3!B32,"medium"))</f>
        <v/>
      </c>
      <c r="D33" s="20">
        <f>IF($A33="","",COUNTIF(Rater_1!B32,"hard")+COUNTIF(Rater_2!B32,"hard")+COUNTIF(Rater_3!B32,"hard"))</f>
        <v/>
      </c>
      <c r="E33" s="20">
        <f>IF($A33="","",IF(SUM(B33:D33)&lt;3,"incomplete",IF(MAX(B33:D33)&lt;2,"no majority",INDEX({"easy","medium","hard"},MATCH(MAX(B33:D33),B33:D33,0)))))</f>
        <v/>
      </c>
      <c r="F33" s="20">
        <f>IF($A33="","",IF(SUM(B33:D33)&lt;3,"",IF(MAX(B33:D33)=3,"full",IF(MAX(B33:D33)=2,"partial","none"))))</f>
        <v/>
      </c>
      <c r="G33" s="21">
        <f>IF($A33="","",IFERROR(AVERAGE(Rater_1!C32:F32,Rater_2!C32:F32,Rater_3!C32:F32),""))</f>
        <v/>
      </c>
      <c r="H33" s="22">
        <f>IF($A33="","",IF(SUM(B33:D33)&lt;3,"",(B33^2+C33^2+D33^2-3)/6))</f>
        <v/>
      </c>
    </row>
    <row r="34">
      <c r="A34" s="20">
        <f>IF(Questions!A32="","",Questions!A32)</f>
        <v/>
      </c>
      <c r="B34" s="20">
        <f>IF($A34="","",COUNTIF(Rater_1!B33,"easy")+COUNTIF(Rater_2!B33,"easy")+COUNTIF(Rater_3!B33,"easy"))</f>
        <v/>
      </c>
      <c r="C34" s="20">
        <f>IF($A34="","",COUNTIF(Rater_1!B33,"medium")+COUNTIF(Rater_2!B33,"medium")+COUNTIF(Rater_3!B33,"medium"))</f>
        <v/>
      </c>
      <c r="D34" s="20">
        <f>IF($A34="","",COUNTIF(Rater_1!B33,"hard")+COUNTIF(Rater_2!B33,"hard")+COUNTIF(Rater_3!B33,"hard"))</f>
        <v/>
      </c>
      <c r="E34" s="20">
        <f>IF($A34="","",IF(SUM(B34:D34)&lt;3,"incomplete",IF(MAX(B34:D34)&lt;2,"no majority",INDEX({"easy","medium","hard"},MATCH(MAX(B34:D34),B34:D34,0)))))</f>
        <v/>
      </c>
      <c r="F34" s="20">
        <f>IF($A34="","",IF(SUM(B34:D34)&lt;3,"",IF(MAX(B34:D34)=3,"full",IF(MAX(B34:D34)=2,"partial","none"))))</f>
        <v/>
      </c>
      <c r="G34" s="21">
        <f>IF($A34="","",IFERROR(AVERAGE(Rater_1!C33:F33,Rater_2!C33:F33,Rater_3!C33:F33),""))</f>
        <v/>
      </c>
      <c r="H34" s="22">
        <f>IF($A34="","",IF(SUM(B34:D34)&lt;3,"",(B34^2+C34^2+D34^2-3)/6))</f>
        <v/>
      </c>
    </row>
    <row r="35">
      <c r="A35" s="20">
        <f>IF(Questions!A33="","",Questions!A33)</f>
        <v/>
      </c>
      <c r="B35" s="20">
        <f>IF($A35="","",COUNTIF(Rater_1!B34,"easy")+COUNTIF(Rater_2!B34,"easy")+COUNTIF(Rater_3!B34,"easy"))</f>
        <v/>
      </c>
      <c r="C35" s="20">
        <f>IF($A35="","",COUNTIF(Rater_1!B34,"medium")+COUNTIF(Rater_2!B34,"medium")+COUNTIF(Rater_3!B34,"medium"))</f>
        <v/>
      </c>
      <c r="D35" s="20">
        <f>IF($A35="","",COUNTIF(Rater_1!B34,"hard")+COUNTIF(Rater_2!B34,"hard")+COUNTIF(Rater_3!B34,"hard"))</f>
        <v/>
      </c>
      <c r="E35" s="20">
        <f>IF($A35="","",IF(SUM(B35:D35)&lt;3,"incomplete",IF(MAX(B35:D35)&lt;2,"no majority",INDEX({"easy","medium","hard"},MATCH(MAX(B35:D35),B35:D35,0)))))</f>
        <v/>
      </c>
      <c r="F35" s="20">
        <f>IF($A35="","",IF(SUM(B35:D35)&lt;3,"",IF(MAX(B35:D35)=3,"full",IF(MAX(B35:D35)=2,"partial","none"))))</f>
        <v/>
      </c>
      <c r="G35" s="21">
        <f>IF($A35="","",IFERROR(AVERAGE(Rater_1!C34:F34,Rater_2!C34:F34,Rater_3!C34:F34),""))</f>
        <v/>
      </c>
      <c r="H35" s="22">
        <f>IF($A35="","",IF(SUM(B35:D35)&lt;3,"",(B35^2+C35^2+D35^2-3)/6))</f>
        <v/>
      </c>
    </row>
    <row r="36">
      <c r="A36" s="20">
        <f>IF(Questions!A34="","",Questions!A34)</f>
        <v/>
      </c>
      <c r="B36" s="20">
        <f>IF($A36="","",COUNTIF(Rater_1!B35,"easy")+COUNTIF(Rater_2!B35,"easy")+COUNTIF(Rater_3!B35,"easy"))</f>
        <v/>
      </c>
      <c r="C36" s="20">
        <f>IF($A36="","",COUNTIF(Rater_1!B35,"medium")+COUNTIF(Rater_2!B35,"medium")+COUNTIF(Rater_3!B35,"medium"))</f>
        <v/>
      </c>
      <c r="D36" s="20">
        <f>IF($A36="","",COUNTIF(Rater_1!B35,"hard")+COUNTIF(Rater_2!B35,"hard")+COUNTIF(Rater_3!B35,"hard"))</f>
        <v/>
      </c>
      <c r="E36" s="20">
        <f>IF($A36="","",IF(SUM(B36:D36)&lt;3,"incomplete",IF(MAX(B36:D36)&lt;2,"no majority",INDEX({"easy","medium","hard"},MATCH(MAX(B36:D36),B36:D36,0)))))</f>
        <v/>
      </c>
      <c r="F36" s="20">
        <f>IF($A36="","",IF(SUM(B36:D36)&lt;3,"",IF(MAX(B36:D36)=3,"full",IF(MAX(B36:D36)=2,"partial","none"))))</f>
        <v/>
      </c>
      <c r="G36" s="21">
        <f>IF($A36="","",IFERROR(AVERAGE(Rater_1!C35:F35,Rater_2!C35:F35,Rater_3!C35:F35),""))</f>
        <v/>
      </c>
      <c r="H36" s="22">
        <f>IF($A36="","",IF(SUM(B36:D36)&lt;3,"",(B36^2+C36^2+D36^2-3)/6))</f>
        <v/>
      </c>
    </row>
    <row r="37">
      <c r="A37" s="20">
        <f>IF(Questions!A35="","",Questions!A35)</f>
        <v/>
      </c>
      <c r="B37" s="20">
        <f>IF($A37="","",COUNTIF(Rater_1!B36,"easy")+COUNTIF(Rater_2!B36,"easy")+COUNTIF(Rater_3!B36,"easy"))</f>
        <v/>
      </c>
      <c r="C37" s="20">
        <f>IF($A37="","",COUNTIF(Rater_1!B36,"medium")+COUNTIF(Rater_2!B36,"medium")+COUNTIF(Rater_3!B36,"medium"))</f>
        <v/>
      </c>
      <c r="D37" s="20">
        <f>IF($A37="","",COUNTIF(Rater_1!B36,"hard")+COUNTIF(Rater_2!B36,"hard")+COUNTIF(Rater_3!B36,"hard"))</f>
        <v/>
      </c>
      <c r="E37" s="20">
        <f>IF($A37="","",IF(SUM(B37:D37)&lt;3,"incomplete",IF(MAX(B37:D37)&lt;2,"no majority",INDEX({"easy","medium","hard"},MATCH(MAX(B37:D37),B37:D37,0)))))</f>
        <v/>
      </c>
      <c r="F37" s="20">
        <f>IF($A37="","",IF(SUM(B37:D37)&lt;3,"",IF(MAX(B37:D37)=3,"full",IF(MAX(B37:D37)=2,"partial","none"))))</f>
        <v/>
      </c>
      <c r="G37" s="21">
        <f>IF($A37="","",IFERROR(AVERAGE(Rater_1!C36:F36,Rater_2!C36:F36,Rater_3!C36:F36),""))</f>
        <v/>
      </c>
      <c r="H37" s="22">
        <f>IF($A37="","",IF(SUM(B37:D37)&lt;3,"",(B37^2+C37^2+D37^2-3)/6))</f>
        <v/>
      </c>
    </row>
    <row r="38">
      <c r="A38" s="20">
        <f>IF(Questions!A36="","",Questions!A36)</f>
        <v/>
      </c>
      <c r="B38" s="20">
        <f>IF($A38="","",COUNTIF(Rater_1!B37,"easy")+COUNTIF(Rater_2!B37,"easy")+COUNTIF(Rater_3!B37,"easy"))</f>
        <v/>
      </c>
      <c r="C38" s="20">
        <f>IF($A38="","",COUNTIF(Rater_1!B37,"medium")+COUNTIF(Rater_2!B37,"medium")+COUNTIF(Rater_3!B37,"medium"))</f>
        <v/>
      </c>
      <c r="D38" s="20">
        <f>IF($A38="","",COUNTIF(Rater_1!B37,"hard")+COUNTIF(Rater_2!B37,"hard")+COUNTIF(Rater_3!B37,"hard"))</f>
        <v/>
      </c>
      <c r="E38" s="20">
        <f>IF($A38="","",IF(SUM(B38:D38)&lt;3,"incomplete",IF(MAX(B38:D38)&lt;2,"no majority",INDEX({"easy","medium","hard"},MATCH(MAX(B38:D38),B38:D38,0)))))</f>
        <v/>
      </c>
      <c r="F38" s="20">
        <f>IF($A38="","",IF(SUM(B38:D38)&lt;3,"",IF(MAX(B38:D38)=3,"full",IF(MAX(B38:D38)=2,"partial","none"))))</f>
        <v/>
      </c>
      <c r="G38" s="21">
        <f>IF($A38="","",IFERROR(AVERAGE(Rater_1!C37:F37,Rater_2!C37:F37,Rater_3!C37:F37),""))</f>
        <v/>
      </c>
      <c r="H38" s="22">
        <f>IF($A38="","",IF(SUM(B38:D38)&lt;3,"",(B38^2+C38^2+D38^2-3)/6))</f>
        <v/>
      </c>
    </row>
    <row r="39">
      <c r="A39" s="20">
        <f>IF(Questions!A37="","",Questions!A37)</f>
        <v/>
      </c>
      <c r="B39" s="20">
        <f>IF($A39="","",COUNTIF(Rater_1!B38,"easy")+COUNTIF(Rater_2!B38,"easy")+COUNTIF(Rater_3!B38,"easy"))</f>
        <v/>
      </c>
      <c r="C39" s="20">
        <f>IF($A39="","",COUNTIF(Rater_1!B38,"medium")+COUNTIF(Rater_2!B38,"medium")+COUNTIF(Rater_3!B38,"medium"))</f>
        <v/>
      </c>
      <c r="D39" s="20">
        <f>IF($A39="","",COUNTIF(Rater_1!B38,"hard")+COUNTIF(Rater_2!B38,"hard")+COUNTIF(Rater_3!B38,"hard"))</f>
        <v/>
      </c>
      <c r="E39" s="20">
        <f>IF($A39="","",IF(SUM(B39:D39)&lt;3,"incomplete",IF(MAX(B39:D39)&lt;2,"no majority",INDEX({"easy","medium","hard"},MATCH(MAX(B39:D39),B39:D39,0)))))</f>
        <v/>
      </c>
      <c r="F39" s="20">
        <f>IF($A39="","",IF(SUM(B39:D39)&lt;3,"",IF(MAX(B39:D39)=3,"full",IF(MAX(B39:D39)=2,"partial","none"))))</f>
        <v/>
      </c>
      <c r="G39" s="21">
        <f>IF($A39="","",IFERROR(AVERAGE(Rater_1!C38:F38,Rater_2!C38:F38,Rater_3!C38:F38),""))</f>
        <v/>
      </c>
      <c r="H39" s="22">
        <f>IF($A39="","",IF(SUM(B39:D39)&lt;3,"",(B39^2+C39^2+D39^2-3)/6))</f>
        <v/>
      </c>
    </row>
    <row r="40">
      <c r="A40" s="20">
        <f>IF(Questions!A38="","",Questions!A38)</f>
        <v/>
      </c>
      <c r="B40" s="20">
        <f>IF($A40="","",COUNTIF(Rater_1!B39,"easy")+COUNTIF(Rater_2!B39,"easy")+COUNTIF(Rater_3!B39,"easy"))</f>
        <v/>
      </c>
      <c r="C40" s="20">
        <f>IF($A40="","",COUNTIF(Rater_1!B39,"medium")+COUNTIF(Rater_2!B39,"medium")+COUNTIF(Rater_3!B39,"medium"))</f>
        <v/>
      </c>
      <c r="D40" s="20">
        <f>IF($A40="","",COUNTIF(Rater_1!B39,"hard")+COUNTIF(Rater_2!B39,"hard")+COUNTIF(Rater_3!B39,"hard"))</f>
        <v/>
      </c>
      <c r="E40" s="20">
        <f>IF($A40="","",IF(SUM(B40:D40)&lt;3,"incomplete",IF(MAX(B40:D40)&lt;2,"no majority",INDEX({"easy","medium","hard"},MATCH(MAX(B40:D40),B40:D40,0)))))</f>
        <v/>
      </c>
      <c r="F40" s="20">
        <f>IF($A40="","",IF(SUM(B40:D40)&lt;3,"",IF(MAX(B40:D40)=3,"full",IF(MAX(B40:D40)=2,"partial","none"))))</f>
        <v/>
      </c>
      <c r="G40" s="21">
        <f>IF($A40="","",IFERROR(AVERAGE(Rater_1!C39:F39,Rater_2!C39:F39,Rater_3!C39:F39),""))</f>
        <v/>
      </c>
      <c r="H40" s="22">
        <f>IF($A40="","",IF(SUM(B40:D40)&lt;3,"",(B40^2+C40^2+D40^2-3)/6))</f>
        <v/>
      </c>
    </row>
    <row r="41">
      <c r="A41" s="20">
        <f>IF(Questions!A39="","",Questions!A39)</f>
        <v/>
      </c>
      <c r="B41" s="20">
        <f>IF($A41="","",COUNTIF(Rater_1!B40,"easy")+COUNTIF(Rater_2!B40,"easy")+COUNTIF(Rater_3!B40,"easy"))</f>
        <v/>
      </c>
      <c r="C41" s="20">
        <f>IF($A41="","",COUNTIF(Rater_1!B40,"medium")+COUNTIF(Rater_2!B40,"medium")+COUNTIF(Rater_3!B40,"medium"))</f>
        <v/>
      </c>
      <c r="D41" s="20">
        <f>IF($A41="","",COUNTIF(Rater_1!B40,"hard")+COUNTIF(Rater_2!B40,"hard")+COUNTIF(Rater_3!B40,"hard"))</f>
        <v/>
      </c>
      <c r="E41" s="20">
        <f>IF($A41="","",IF(SUM(B41:D41)&lt;3,"incomplete",IF(MAX(B41:D41)&lt;2,"no majority",INDEX({"easy","medium","hard"},MATCH(MAX(B41:D41),B41:D41,0)))))</f>
        <v/>
      </c>
      <c r="F41" s="20">
        <f>IF($A41="","",IF(SUM(B41:D41)&lt;3,"",IF(MAX(B41:D41)=3,"full",IF(MAX(B41:D41)=2,"partial","none"))))</f>
        <v/>
      </c>
      <c r="G41" s="21">
        <f>IF($A41="","",IFERROR(AVERAGE(Rater_1!C40:F40,Rater_2!C40:F40,Rater_3!C40:F40),""))</f>
        <v/>
      </c>
      <c r="H41" s="22">
        <f>IF($A41="","",IF(SUM(B41:D41)&lt;3,"",(B41^2+C41^2+D41^2-3)/6))</f>
        <v/>
      </c>
    </row>
    <row r="42">
      <c r="A42" s="20">
        <f>IF(Questions!A40="","",Questions!A40)</f>
        <v/>
      </c>
      <c r="B42" s="20">
        <f>IF($A42="","",COUNTIF(Rater_1!B41,"easy")+COUNTIF(Rater_2!B41,"easy")+COUNTIF(Rater_3!B41,"easy"))</f>
        <v/>
      </c>
      <c r="C42" s="20">
        <f>IF($A42="","",COUNTIF(Rater_1!B41,"medium")+COUNTIF(Rater_2!B41,"medium")+COUNTIF(Rater_3!B41,"medium"))</f>
        <v/>
      </c>
      <c r="D42" s="20">
        <f>IF($A42="","",COUNTIF(Rater_1!B41,"hard")+COUNTIF(Rater_2!B41,"hard")+COUNTIF(Rater_3!B41,"hard"))</f>
        <v/>
      </c>
      <c r="E42" s="20">
        <f>IF($A42="","",IF(SUM(B42:D42)&lt;3,"incomplete",IF(MAX(B42:D42)&lt;2,"no majority",INDEX({"easy","medium","hard"},MATCH(MAX(B42:D42),B42:D42,0)))))</f>
        <v/>
      </c>
      <c r="F42" s="20">
        <f>IF($A42="","",IF(SUM(B42:D42)&lt;3,"",IF(MAX(B42:D42)=3,"full",IF(MAX(B42:D42)=2,"partial","none"))))</f>
        <v/>
      </c>
      <c r="G42" s="21">
        <f>IF($A42="","",IFERROR(AVERAGE(Rater_1!C41:F41,Rater_2!C41:F41,Rater_3!C41:F41),""))</f>
        <v/>
      </c>
      <c r="H42" s="22">
        <f>IF($A42="","",IF(SUM(B42:D42)&lt;3,"",(B42^2+C42^2+D42^2-3)/6))</f>
        <v/>
      </c>
    </row>
    <row r="43">
      <c r="A43" s="20">
        <f>IF(Questions!A41="","",Questions!A41)</f>
        <v/>
      </c>
      <c r="B43" s="20">
        <f>IF($A43="","",COUNTIF(Rater_1!B42,"easy")+COUNTIF(Rater_2!B42,"easy")+COUNTIF(Rater_3!B42,"easy"))</f>
        <v/>
      </c>
      <c r="C43" s="20">
        <f>IF($A43="","",COUNTIF(Rater_1!B42,"medium")+COUNTIF(Rater_2!B42,"medium")+COUNTIF(Rater_3!B42,"medium"))</f>
        <v/>
      </c>
      <c r="D43" s="20">
        <f>IF($A43="","",COUNTIF(Rater_1!B42,"hard")+COUNTIF(Rater_2!B42,"hard")+COUNTIF(Rater_3!B42,"hard"))</f>
        <v/>
      </c>
      <c r="E43" s="20">
        <f>IF($A43="","",IF(SUM(B43:D43)&lt;3,"incomplete",IF(MAX(B43:D43)&lt;2,"no majority",INDEX({"easy","medium","hard"},MATCH(MAX(B43:D43),B43:D43,0)))))</f>
        <v/>
      </c>
      <c r="F43" s="20">
        <f>IF($A43="","",IF(SUM(B43:D43)&lt;3,"",IF(MAX(B43:D43)=3,"full",IF(MAX(B43:D43)=2,"partial","none"))))</f>
        <v/>
      </c>
      <c r="G43" s="21">
        <f>IF($A43="","",IFERROR(AVERAGE(Rater_1!C42:F42,Rater_2!C42:F42,Rater_3!C42:F42),""))</f>
        <v/>
      </c>
      <c r="H43" s="22">
        <f>IF($A43="","",IF(SUM(B43:D43)&lt;3,"",(B43^2+C43^2+D43^2-3)/6))</f>
        <v/>
      </c>
    </row>
    <row r="44">
      <c r="A44" s="20">
        <f>IF(Questions!A42="","",Questions!A42)</f>
        <v/>
      </c>
      <c r="B44" s="20">
        <f>IF($A44="","",COUNTIF(Rater_1!B43,"easy")+COUNTIF(Rater_2!B43,"easy")+COUNTIF(Rater_3!B43,"easy"))</f>
        <v/>
      </c>
      <c r="C44" s="20">
        <f>IF($A44="","",COUNTIF(Rater_1!B43,"medium")+COUNTIF(Rater_2!B43,"medium")+COUNTIF(Rater_3!B43,"medium"))</f>
        <v/>
      </c>
      <c r="D44" s="20">
        <f>IF($A44="","",COUNTIF(Rater_1!B43,"hard")+COUNTIF(Rater_2!B43,"hard")+COUNTIF(Rater_3!B43,"hard"))</f>
        <v/>
      </c>
      <c r="E44" s="20">
        <f>IF($A44="","",IF(SUM(B44:D44)&lt;3,"incomplete",IF(MAX(B44:D44)&lt;2,"no majority",INDEX({"easy","medium","hard"},MATCH(MAX(B44:D44),B44:D44,0)))))</f>
        <v/>
      </c>
      <c r="F44" s="20">
        <f>IF($A44="","",IF(SUM(B44:D44)&lt;3,"",IF(MAX(B44:D44)=3,"full",IF(MAX(B44:D44)=2,"partial","none"))))</f>
        <v/>
      </c>
      <c r="G44" s="21">
        <f>IF($A44="","",IFERROR(AVERAGE(Rater_1!C43:F43,Rater_2!C43:F43,Rater_3!C43:F43),""))</f>
        <v/>
      </c>
      <c r="H44" s="22">
        <f>IF($A44="","",IF(SUM(B44:D44)&lt;3,"",(B44^2+C44^2+D44^2-3)/6))</f>
        <v/>
      </c>
    </row>
    <row r="45">
      <c r="A45" s="20">
        <f>IF(Questions!A43="","",Questions!A43)</f>
        <v/>
      </c>
      <c r="B45" s="20">
        <f>IF($A45="","",COUNTIF(Rater_1!B44,"easy")+COUNTIF(Rater_2!B44,"easy")+COUNTIF(Rater_3!B44,"easy"))</f>
        <v/>
      </c>
      <c r="C45" s="20">
        <f>IF($A45="","",COUNTIF(Rater_1!B44,"medium")+COUNTIF(Rater_2!B44,"medium")+COUNTIF(Rater_3!B44,"medium"))</f>
        <v/>
      </c>
      <c r="D45" s="20">
        <f>IF($A45="","",COUNTIF(Rater_1!B44,"hard")+COUNTIF(Rater_2!B44,"hard")+COUNTIF(Rater_3!B44,"hard"))</f>
        <v/>
      </c>
      <c r="E45" s="20">
        <f>IF($A45="","",IF(SUM(B45:D45)&lt;3,"incomplete",IF(MAX(B45:D45)&lt;2,"no majority",INDEX({"easy","medium","hard"},MATCH(MAX(B45:D45),B45:D45,0)))))</f>
        <v/>
      </c>
      <c r="F45" s="20">
        <f>IF($A45="","",IF(SUM(B45:D45)&lt;3,"",IF(MAX(B45:D45)=3,"full",IF(MAX(B45:D45)=2,"partial","none"))))</f>
        <v/>
      </c>
      <c r="G45" s="21">
        <f>IF($A45="","",IFERROR(AVERAGE(Rater_1!C44:F44,Rater_2!C44:F44,Rater_3!C44:F44),""))</f>
        <v/>
      </c>
      <c r="H45" s="22">
        <f>IF($A45="","",IF(SUM(B45:D45)&lt;3,"",(B45^2+C45^2+D45^2-3)/6))</f>
        <v/>
      </c>
    </row>
    <row r="46">
      <c r="A46" s="20">
        <f>IF(Questions!A44="","",Questions!A44)</f>
        <v/>
      </c>
      <c r="B46" s="20">
        <f>IF($A46="","",COUNTIF(Rater_1!B45,"easy")+COUNTIF(Rater_2!B45,"easy")+COUNTIF(Rater_3!B45,"easy"))</f>
        <v/>
      </c>
      <c r="C46" s="20">
        <f>IF($A46="","",COUNTIF(Rater_1!B45,"medium")+COUNTIF(Rater_2!B45,"medium")+COUNTIF(Rater_3!B45,"medium"))</f>
        <v/>
      </c>
      <c r="D46" s="20">
        <f>IF($A46="","",COUNTIF(Rater_1!B45,"hard")+COUNTIF(Rater_2!B45,"hard")+COUNTIF(Rater_3!B45,"hard"))</f>
        <v/>
      </c>
      <c r="E46" s="20">
        <f>IF($A46="","",IF(SUM(B46:D46)&lt;3,"incomplete",IF(MAX(B46:D46)&lt;2,"no majority",INDEX({"easy","medium","hard"},MATCH(MAX(B46:D46),B46:D46,0)))))</f>
        <v/>
      </c>
      <c r="F46" s="20">
        <f>IF($A46="","",IF(SUM(B46:D46)&lt;3,"",IF(MAX(B46:D46)=3,"full",IF(MAX(B46:D46)=2,"partial","none"))))</f>
        <v/>
      </c>
      <c r="G46" s="21">
        <f>IF($A46="","",IFERROR(AVERAGE(Rater_1!C45:F45,Rater_2!C45:F45,Rater_3!C45:F45),""))</f>
        <v/>
      </c>
      <c r="H46" s="22">
        <f>IF($A46="","",IF(SUM(B46:D46)&lt;3,"",(B46^2+C46^2+D46^2-3)/6))</f>
        <v/>
      </c>
    </row>
    <row r="47">
      <c r="A47" s="20">
        <f>IF(Questions!A45="","",Questions!A45)</f>
        <v/>
      </c>
      <c r="B47" s="20">
        <f>IF($A47="","",COUNTIF(Rater_1!B46,"easy")+COUNTIF(Rater_2!B46,"easy")+COUNTIF(Rater_3!B46,"easy"))</f>
        <v/>
      </c>
      <c r="C47" s="20">
        <f>IF($A47="","",COUNTIF(Rater_1!B46,"medium")+COUNTIF(Rater_2!B46,"medium")+COUNTIF(Rater_3!B46,"medium"))</f>
        <v/>
      </c>
      <c r="D47" s="20">
        <f>IF($A47="","",COUNTIF(Rater_1!B46,"hard")+COUNTIF(Rater_2!B46,"hard")+COUNTIF(Rater_3!B46,"hard"))</f>
        <v/>
      </c>
      <c r="E47" s="20">
        <f>IF($A47="","",IF(SUM(B47:D47)&lt;3,"incomplete",IF(MAX(B47:D47)&lt;2,"no majority",INDEX({"easy","medium","hard"},MATCH(MAX(B47:D47),B47:D47,0)))))</f>
        <v/>
      </c>
      <c r="F47" s="20">
        <f>IF($A47="","",IF(SUM(B47:D47)&lt;3,"",IF(MAX(B47:D47)=3,"full",IF(MAX(B47:D47)=2,"partial","none"))))</f>
        <v/>
      </c>
      <c r="G47" s="21">
        <f>IF($A47="","",IFERROR(AVERAGE(Rater_1!C46:F46,Rater_2!C46:F46,Rater_3!C46:F46),""))</f>
        <v/>
      </c>
      <c r="H47" s="22">
        <f>IF($A47="","",IF(SUM(B47:D47)&lt;3,"",(B47^2+C47^2+D47^2-3)/6))</f>
        <v/>
      </c>
    </row>
    <row r="48">
      <c r="A48" s="20">
        <f>IF(Questions!A46="","",Questions!A46)</f>
        <v/>
      </c>
      <c r="B48" s="20">
        <f>IF($A48="","",COUNTIF(Rater_1!B47,"easy")+COUNTIF(Rater_2!B47,"easy")+COUNTIF(Rater_3!B47,"easy"))</f>
        <v/>
      </c>
      <c r="C48" s="20">
        <f>IF($A48="","",COUNTIF(Rater_1!B47,"medium")+COUNTIF(Rater_2!B47,"medium")+COUNTIF(Rater_3!B47,"medium"))</f>
        <v/>
      </c>
      <c r="D48" s="20">
        <f>IF($A48="","",COUNTIF(Rater_1!B47,"hard")+COUNTIF(Rater_2!B47,"hard")+COUNTIF(Rater_3!B47,"hard"))</f>
        <v/>
      </c>
      <c r="E48" s="20">
        <f>IF($A48="","",IF(SUM(B48:D48)&lt;3,"incomplete",IF(MAX(B48:D48)&lt;2,"no majority",INDEX({"easy","medium","hard"},MATCH(MAX(B48:D48),B48:D48,0)))))</f>
        <v/>
      </c>
      <c r="F48" s="20">
        <f>IF($A48="","",IF(SUM(B48:D48)&lt;3,"",IF(MAX(B48:D48)=3,"full",IF(MAX(B48:D48)=2,"partial","none"))))</f>
        <v/>
      </c>
      <c r="G48" s="21">
        <f>IF($A48="","",IFERROR(AVERAGE(Rater_1!C47:F47,Rater_2!C47:F47,Rater_3!C47:F47),""))</f>
        <v/>
      </c>
      <c r="H48" s="22">
        <f>IF($A48="","",IF(SUM(B48:D48)&lt;3,"",(B48^2+C48^2+D48^2-3)/6))</f>
        <v/>
      </c>
    </row>
    <row r="49">
      <c r="A49" s="20">
        <f>IF(Questions!A47="","",Questions!A47)</f>
        <v/>
      </c>
      <c r="B49" s="20">
        <f>IF($A49="","",COUNTIF(Rater_1!B48,"easy")+COUNTIF(Rater_2!B48,"easy")+COUNTIF(Rater_3!B48,"easy"))</f>
        <v/>
      </c>
      <c r="C49" s="20">
        <f>IF($A49="","",COUNTIF(Rater_1!B48,"medium")+COUNTIF(Rater_2!B48,"medium")+COUNTIF(Rater_3!B48,"medium"))</f>
        <v/>
      </c>
      <c r="D49" s="20">
        <f>IF($A49="","",COUNTIF(Rater_1!B48,"hard")+COUNTIF(Rater_2!B48,"hard")+COUNTIF(Rater_3!B48,"hard"))</f>
        <v/>
      </c>
      <c r="E49" s="20">
        <f>IF($A49="","",IF(SUM(B49:D49)&lt;3,"incomplete",IF(MAX(B49:D49)&lt;2,"no majority",INDEX({"easy","medium","hard"},MATCH(MAX(B49:D49),B49:D49,0)))))</f>
        <v/>
      </c>
      <c r="F49" s="20">
        <f>IF($A49="","",IF(SUM(B49:D49)&lt;3,"",IF(MAX(B49:D49)=3,"full",IF(MAX(B49:D49)=2,"partial","none"))))</f>
        <v/>
      </c>
      <c r="G49" s="21">
        <f>IF($A49="","",IFERROR(AVERAGE(Rater_1!C48:F48,Rater_2!C48:F48,Rater_3!C48:F48),""))</f>
        <v/>
      </c>
      <c r="H49" s="22">
        <f>IF($A49="","",IF(SUM(B49:D49)&lt;3,"",(B49^2+C49^2+D49^2-3)/6))</f>
        <v/>
      </c>
    </row>
    <row r="50">
      <c r="A50" s="20">
        <f>IF(Questions!A48="","",Questions!A48)</f>
        <v/>
      </c>
      <c r="B50" s="20">
        <f>IF($A50="","",COUNTIF(Rater_1!B49,"easy")+COUNTIF(Rater_2!B49,"easy")+COUNTIF(Rater_3!B49,"easy"))</f>
        <v/>
      </c>
      <c r="C50" s="20">
        <f>IF($A50="","",COUNTIF(Rater_1!B49,"medium")+COUNTIF(Rater_2!B49,"medium")+COUNTIF(Rater_3!B49,"medium"))</f>
        <v/>
      </c>
      <c r="D50" s="20">
        <f>IF($A50="","",COUNTIF(Rater_1!B49,"hard")+COUNTIF(Rater_2!B49,"hard")+COUNTIF(Rater_3!B49,"hard"))</f>
        <v/>
      </c>
      <c r="E50" s="20">
        <f>IF($A50="","",IF(SUM(B50:D50)&lt;3,"incomplete",IF(MAX(B50:D50)&lt;2,"no majority",INDEX({"easy","medium","hard"},MATCH(MAX(B50:D50),B50:D50,0)))))</f>
        <v/>
      </c>
      <c r="F50" s="20">
        <f>IF($A50="","",IF(SUM(B50:D50)&lt;3,"",IF(MAX(B50:D50)=3,"full",IF(MAX(B50:D50)=2,"partial","none"))))</f>
        <v/>
      </c>
      <c r="G50" s="21">
        <f>IF($A50="","",IFERROR(AVERAGE(Rater_1!C49:F49,Rater_2!C49:F49,Rater_3!C49:F49),""))</f>
        <v/>
      </c>
      <c r="H50" s="22">
        <f>IF($A50="","",IF(SUM(B50:D50)&lt;3,"",(B50^2+C50^2+D50^2-3)/6))</f>
        <v/>
      </c>
    </row>
    <row r="51">
      <c r="A51" s="20">
        <f>IF(Questions!A49="","",Questions!A49)</f>
        <v/>
      </c>
      <c r="B51" s="20">
        <f>IF($A51="","",COUNTIF(Rater_1!B50,"easy")+COUNTIF(Rater_2!B50,"easy")+COUNTIF(Rater_3!B50,"easy"))</f>
        <v/>
      </c>
      <c r="C51" s="20">
        <f>IF($A51="","",COUNTIF(Rater_1!B50,"medium")+COUNTIF(Rater_2!B50,"medium")+COUNTIF(Rater_3!B50,"medium"))</f>
        <v/>
      </c>
      <c r="D51" s="20">
        <f>IF($A51="","",COUNTIF(Rater_1!B50,"hard")+COUNTIF(Rater_2!B50,"hard")+COUNTIF(Rater_3!B50,"hard"))</f>
        <v/>
      </c>
      <c r="E51" s="20">
        <f>IF($A51="","",IF(SUM(B51:D51)&lt;3,"incomplete",IF(MAX(B51:D51)&lt;2,"no majority",INDEX({"easy","medium","hard"},MATCH(MAX(B51:D51),B51:D51,0)))))</f>
        <v/>
      </c>
      <c r="F51" s="20">
        <f>IF($A51="","",IF(SUM(B51:D51)&lt;3,"",IF(MAX(B51:D51)=3,"full",IF(MAX(B51:D51)=2,"partial","none"))))</f>
        <v/>
      </c>
      <c r="G51" s="21">
        <f>IF($A51="","",IFERROR(AVERAGE(Rater_1!C50:F50,Rater_2!C50:F50,Rater_3!C50:F50),""))</f>
        <v/>
      </c>
      <c r="H51" s="22">
        <f>IF($A51="","",IF(SUM(B51:D51)&lt;3,"",(B51^2+C51^2+D51^2-3)/6))</f>
        <v/>
      </c>
    </row>
    <row r="52">
      <c r="A52" s="20">
        <f>IF(Questions!A50="","",Questions!A50)</f>
        <v/>
      </c>
      <c r="B52" s="20">
        <f>IF($A52="","",COUNTIF(Rater_1!B51,"easy")+COUNTIF(Rater_2!B51,"easy")+COUNTIF(Rater_3!B51,"easy"))</f>
        <v/>
      </c>
      <c r="C52" s="20">
        <f>IF($A52="","",COUNTIF(Rater_1!B51,"medium")+COUNTIF(Rater_2!B51,"medium")+COUNTIF(Rater_3!B51,"medium"))</f>
        <v/>
      </c>
      <c r="D52" s="20">
        <f>IF($A52="","",COUNTIF(Rater_1!B51,"hard")+COUNTIF(Rater_2!B51,"hard")+COUNTIF(Rater_3!B51,"hard"))</f>
        <v/>
      </c>
      <c r="E52" s="20">
        <f>IF($A52="","",IF(SUM(B52:D52)&lt;3,"incomplete",IF(MAX(B52:D52)&lt;2,"no majority",INDEX({"easy","medium","hard"},MATCH(MAX(B52:D52),B52:D52,0)))))</f>
        <v/>
      </c>
      <c r="F52" s="20">
        <f>IF($A52="","",IF(SUM(B52:D52)&lt;3,"",IF(MAX(B52:D52)=3,"full",IF(MAX(B52:D52)=2,"partial","none"))))</f>
        <v/>
      </c>
      <c r="G52" s="21">
        <f>IF($A52="","",IFERROR(AVERAGE(Rater_1!C51:F51,Rater_2!C51:F51,Rater_3!C51:F51),""))</f>
        <v/>
      </c>
      <c r="H52" s="22">
        <f>IF($A52="","",IF(SUM(B52:D52)&lt;3,"",(B52^2+C52^2+D52^2-3)/6))</f>
        <v/>
      </c>
    </row>
    <row r="53">
      <c r="A53" s="20">
        <f>IF(Questions!A51="","",Questions!A51)</f>
        <v/>
      </c>
      <c r="B53" s="20">
        <f>IF($A53="","",COUNTIF(Rater_1!B52,"easy")+COUNTIF(Rater_2!B52,"easy")+COUNTIF(Rater_3!B52,"easy"))</f>
        <v/>
      </c>
      <c r="C53" s="20">
        <f>IF($A53="","",COUNTIF(Rater_1!B52,"medium")+COUNTIF(Rater_2!B52,"medium")+COUNTIF(Rater_3!B52,"medium"))</f>
        <v/>
      </c>
      <c r="D53" s="20">
        <f>IF($A53="","",COUNTIF(Rater_1!B52,"hard")+COUNTIF(Rater_2!B52,"hard")+COUNTIF(Rater_3!B52,"hard"))</f>
        <v/>
      </c>
      <c r="E53" s="20">
        <f>IF($A53="","",IF(SUM(B53:D53)&lt;3,"incomplete",IF(MAX(B53:D53)&lt;2,"no majority",INDEX({"easy","medium","hard"},MATCH(MAX(B53:D53),B53:D53,0)))))</f>
        <v/>
      </c>
      <c r="F53" s="20">
        <f>IF($A53="","",IF(SUM(B53:D53)&lt;3,"",IF(MAX(B53:D53)=3,"full",IF(MAX(B53:D53)=2,"partial","none"))))</f>
        <v/>
      </c>
      <c r="G53" s="21">
        <f>IF($A53="","",IFERROR(AVERAGE(Rater_1!C52:F52,Rater_2!C52:F52,Rater_3!C52:F52),""))</f>
        <v/>
      </c>
      <c r="H53" s="22">
        <f>IF($A53="","",IF(SUM(B53:D53)&lt;3,"",(B53^2+C53^2+D53^2-3)/6))</f>
        <v/>
      </c>
    </row>
    <row r="54">
      <c r="A54" s="20">
        <f>IF(Questions!A52="","",Questions!A52)</f>
        <v/>
      </c>
      <c r="B54" s="20">
        <f>IF($A54="","",COUNTIF(Rater_1!B53,"easy")+COUNTIF(Rater_2!B53,"easy")+COUNTIF(Rater_3!B53,"easy"))</f>
        <v/>
      </c>
      <c r="C54" s="20">
        <f>IF($A54="","",COUNTIF(Rater_1!B53,"medium")+COUNTIF(Rater_2!B53,"medium")+COUNTIF(Rater_3!B53,"medium"))</f>
        <v/>
      </c>
      <c r="D54" s="20">
        <f>IF($A54="","",COUNTIF(Rater_1!B53,"hard")+COUNTIF(Rater_2!B53,"hard")+COUNTIF(Rater_3!B53,"hard"))</f>
        <v/>
      </c>
      <c r="E54" s="20">
        <f>IF($A54="","",IF(SUM(B54:D54)&lt;3,"incomplete",IF(MAX(B54:D54)&lt;2,"no majority",INDEX({"easy","medium","hard"},MATCH(MAX(B54:D54),B54:D54,0)))))</f>
        <v/>
      </c>
      <c r="F54" s="20">
        <f>IF($A54="","",IF(SUM(B54:D54)&lt;3,"",IF(MAX(B54:D54)=3,"full",IF(MAX(B54:D54)=2,"partial","none"))))</f>
        <v/>
      </c>
      <c r="G54" s="21">
        <f>IF($A54="","",IFERROR(AVERAGE(Rater_1!C53:F53,Rater_2!C53:F53,Rater_3!C53:F53),""))</f>
        <v/>
      </c>
      <c r="H54" s="22">
        <f>IF($A54="","",IF(SUM(B54:D54)&lt;3,"",(B54^2+C54^2+D54^2-3)/6))</f>
        <v/>
      </c>
    </row>
    <row r="55">
      <c r="A55" s="20">
        <f>IF(Questions!A53="","",Questions!A53)</f>
        <v/>
      </c>
      <c r="B55" s="20">
        <f>IF($A55="","",COUNTIF(Rater_1!B54,"easy")+COUNTIF(Rater_2!B54,"easy")+COUNTIF(Rater_3!B54,"easy"))</f>
        <v/>
      </c>
      <c r="C55" s="20">
        <f>IF($A55="","",COUNTIF(Rater_1!B54,"medium")+COUNTIF(Rater_2!B54,"medium")+COUNTIF(Rater_3!B54,"medium"))</f>
        <v/>
      </c>
      <c r="D55" s="20">
        <f>IF($A55="","",COUNTIF(Rater_1!B54,"hard")+COUNTIF(Rater_2!B54,"hard")+COUNTIF(Rater_3!B54,"hard"))</f>
        <v/>
      </c>
      <c r="E55" s="20">
        <f>IF($A55="","",IF(SUM(B55:D55)&lt;3,"incomplete",IF(MAX(B55:D55)&lt;2,"no majority",INDEX({"easy","medium","hard"},MATCH(MAX(B55:D55),B55:D55,0)))))</f>
        <v/>
      </c>
      <c r="F55" s="20">
        <f>IF($A55="","",IF(SUM(B55:D55)&lt;3,"",IF(MAX(B55:D55)=3,"full",IF(MAX(B55:D55)=2,"partial","none"))))</f>
        <v/>
      </c>
      <c r="G55" s="21">
        <f>IF($A55="","",IFERROR(AVERAGE(Rater_1!C54:F54,Rater_2!C54:F54,Rater_3!C54:F54),""))</f>
        <v/>
      </c>
      <c r="H55" s="22">
        <f>IF($A55="","",IF(SUM(B55:D55)&lt;3,"",(B55^2+C55^2+D55^2-3)/6))</f>
        <v/>
      </c>
    </row>
    <row r="56">
      <c r="A56" s="20">
        <f>IF(Questions!A54="","",Questions!A54)</f>
        <v/>
      </c>
      <c r="B56" s="20">
        <f>IF($A56="","",COUNTIF(Rater_1!B55,"easy")+COUNTIF(Rater_2!B55,"easy")+COUNTIF(Rater_3!B55,"easy"))</f>
        <v/>
      </c>
      <c r="C56" s="20">
        <f>IF($A56="","",COUNTIF(Rater_1!B55,"medium")+COUNTIF(Rater_2!B55,"medium")+COUNTIF(Rater_3!B55,"medium"))</f>
        <v/>
      </c>
      <c r="D56" s="20">
        <f>IF($A56="","",COUNTIF(Rater_1!B55,"hard")+COUNTIF(Rater_2!B55,"hard")+COUNTIF(Rater_3!B55,"hard"))</f>
        <v/>
      </c>
      <c r="E56" s="20">
        <f>IF($A56="","",IF(SUM(B56:D56)&lt;3,"incomplete",IF(MAX(B56:D56)&lt;2,"no majority",INDEX({"easy","medium","hard"},MATCH(MAX(B56:D56),B56:D56,0)))))</f>
        <v/>
      </c>
      <c r="F56" s="20">
        <f>IF($A56="","",IF(SUM(B56:D56)&lt;3,"",IF(MAX(B56:D56)=3,"full",IF(MAX(B56:D56)=2,"partial","none"))))</f>
        <v/>
      </c>
      <c r="G56" s="21">
        <f>IF($A56="","",IFERROR(AVERAGE(Rater_1!C55:F55,Rater_2!C55:F55,Rater_3!C55:F55),""))</f>
        <v/>
      </c>
      <c r="H56" s="22">
        <f>IF($A56="","",IF(SUM(B56:D56)&lt;3,"",(B56^2+C56^2+D56^2-3)/6))</f>
        <v/>
      </c>
    </row>
    <row r="57">
      <c r="A57" s="20">
        <f>IF(Questions!A55="","",Questions!A55)</f>
        <v/>
      </c>
      <c r="B57" s="20">
        <f>IF($A57="","",COUNTIF(Rater_1!B56,"easy")+COUNTIF(Rater_2!B56,"easy")+COUNTIF(Rater_3!B56,"easy"))</f>
        <v/>
      </c>
      <c r="C57" s="20">
        <f>IF($A57="","",COUNTIF(Rater_1!B56,"medium")+COUNTIF(Rater_2!B56,"medium")+COUNTIF(Rater_3!B56,"medium"))</f>
        <v/>
      </c>
      <c r="D57" s="20">
        <f>IF($A57="","",COUNTIF(Rater_1!B56,"hard")+COUNTIF(Rater_2!B56,"hard")+COUNTIF(Rater_3!B56,"hard"))</f>
        <v/>
      </c>
      <c r="E57" s="20">
        <f>IF($A57="","",IF(SUM(B57:D57)&lt;3,"incomplete",IF(MAX(B57:D57)&lt;2,"no majority",INDEX({"easy","medium","hard"},MATCH(MAX(B57:D57),B57:D57,0)))))</f>
        <v/>
      </c>
      <c r="F57" s="20">
        <f>IF($A57="","",IF(SUM(B57:D57)&lt;3,"",IF(MAX(B57:D57)=3,"full",IF(MAX(B57:D57)=2,"partial","none"))))</f>
        <v/>
      </c>
      <c r="G57" s="21">
        <f>IF($A57="","",IFERROR(AVERAGE(Rater_1!C56:F56,Rater_2!C56:F56,Rater_3!C56:F56),""))</f>
        <v/>
      </c>
      <c r="H57" s="22">
        <f>IF($A57="","",IF(SUM(B57:D57)&lt;3,"",(B57^2+C57^2+D57^2-3)/6))</f>
        <v/>
      </c>
    </row>
    <row r="58">
      <c r="A58" s="20">
        <f>IF(Questions!A56="","",Questions!A56)</f>
        <v/>
      </c>
      <c r="B58" s="20">
        <f>IF($A58="","",COUNTIF(Rater_1!B57,"easy")+COUNTIF(Rater_2!B57,"easy")+COUNTIF(Rater_3!B57,"easy"))</f>
        <v/>
      </c>
      <c r="C58" s="20">
        <f>IF($A58="","",COUNTIF(Rater_1!B57,"medium")+COUNTIF(Rater_2!B57,"medium")+COUNTIF(Rater_3!B57,"medium"))</f>
        <v/>
      </c>
      <c r="D58" s="20">
        <f>IF($A58="","",COUNTIF(Rater_1!B57,"hard")+COUNTIF(Rater_2!B57,"hard")+COUNTIF(Rater_3!B57,"hard"))</f>
        <v/>
      </c>
      <c r="E58" s="20">
        <f>IF($A58="","",IF(SUM(B58:D58)&lt;3,"incomplete",IF(MAX(B58:D58)&lt;2,"no majority",INDEX({"easy","medium","hard"},MATCH(MAX(B58:D58),B58:D58,0)))))</f>
        <v/>
      </c>
      <c r="F58" s="20">
        <f>IF($A58="","",IF(SUM(B58:D58)&lt;3,"",IF(MAX(B58:D58)=3,"full",IF(MAX(B58:D58)=2,"partial","none"))))</f>
        <v/>
      </c>
      <c r="G58" s="21">
        <f>IF($A58="","",IFERROR(AVERAGE(Rater_1!C57:F57,Rater_2!C57:F57,Rater_3!C57:F57),""))</f>
        <v/>
      </c>
      <c r="H58" s="22">
        <f>IF($A58="","",IF(SUM(B58:D58)&lt;3,"",(B58^2+C58^2+D58^2-3)/6))</f>
        <v/>
      </c>
    </row>
    <row r="59">
      <c r="A59" s="20">
        <f>IF(Questions!A57="","",Questions!A57)</f>
        <v/>
      </c>
      <c r="B59" s="20">
        <f>IF($A59="","",COUNTIF(Rater_1!B58,"easy")+COUNTIF(Rater_2!B58,"easy")+COUNTIF(Rater_3!B58,"easy"))</f>
        <v/>
      </c>
      <c r="C59" s="20">
        <f>IF($A59="","",COUNTIF(Rater_1!B58,"medium")+COUNTIF(Rater_2!B58,"medium")+COUNTIF(Rater_3!B58,"medium"))</f>
        <v/>
      </c>
      <c r="D59" s="20">
        <f>IF($A59="","",COUNTIF(Rater_1!B58,"hard")+COUNTIF(Rater_2!B58,"hard")+COUNTIF(Rater_3!B58,"hard"))</f>
        <v/>
      </c>
      <c r="E59" s="20">
        <f>IF($A59="","",IF(SUM(B59:D59)&lt;3,"incomplete",IF(MAX(B59:D59)&lt;2,"no majority",INDEX({"easy","medium","hard"},MATCH(MAX(B59:D59),B59:D59,0)))))</f>
        <v/>
      </c>
      <c r="F59" s="20">
        <f>IF($A59="","",IF(SUM(B59:D59)&lt;3,"",IF(MAX(B59:D59)=3,"full",IF(MAX(B59:D59)=2,"partial","none"))))</f>
        <v/>
      </c>
      <c r="G59" s="21">
        <f>IF($A59="","",IFERROR(AVERAGE(Rater_1!C58:F58,Rater_2!C58:F58,Rater_3!C58:F58),""))</f>
        <v/>
      </c>
      <c r="H59" s="22">
        <f>IF($A59="","",IF(SUM(B59:D59)&lt;3,"",(B59^2+C59^2+D59^2-3)/6))</f>
        <v/>
      </c>
    </row>
    <row r="60">
      <c r="A60" s="20">
        <f>IF(Questions!A58="","",Questions!A58)</f>
        <v/>
      </c>
      <c r="B60" s="20">
        <f>IF($A60="","",COUNTIF(Rater_1!B59,"easy")+COUNTIF(Rater_2!B59,"easy")+COUNTIF(Rater_3!B59,"easy"))</f>
        <v/>
      </c>
      <c r="C60" s="20">
        <f>IF($A60="","",COUNTIF(Rater_1!B59,"medium")+COUNTIF(Rater_2!B59,"medium")+COUNTIF(Rater_3!B59,"medium"))</f>
        <v/>
      </c>
      <c r="D60" s="20">
        <f>IF($A60="","",COUNTIF(Rater_1!B59,"hard")+COUNTIF(Rater_2!B59,"hard")+COUNTIF(Rater_3!B59,"hard"))</f>
        <v/>
      </c>
      <c r="E60" s="20">
        <f>IF($A60="","",IF(SUM(B60:D60)&lt;3,"incomplete",IF(MAX(B60:D60)&lt;2,"no majority",INDEX({"easy","medium","hard"},MATCH(MAX(B60:D60),B60:D60,0)))))</f>
        <v/>
      </c>
      <c r="F60" s="20">
        <f>IF($A60="","",IF(SUM(B60:D60)&lt;3,"",IF(MAX(B60:D60)=3,"full",IF(MAX(B60:D60)=2,"partial","none"))))</f>
        <v/>
      </c>
      <c r="G60" s="21">
        <f>IF($A60="","",IFERROR(AVERAGE(Rater_1!C59:F59,Rater_2!C59:F59,Rater_3!C59:F59),""))</f>
        <v/>
      </c>
      <c r="H60" s="22">
        <f>IF($A60="","",IF(SUM(B60:D60)&lt;3,"",(B60^2+C60^2+D60^2-3)/6))</f>
        <v/>
      </c>
    </row>
    <row r="61">
      <c r="A61" s="20">
        <f>IF(Questions!A59="","",Questions!A59)</f>
        <v/>
      </c>
      <c r="B61" s="20">
        <f>IF($A61="","",COUNTIF(Rater_1!B60,"easy")+COUNTIF(Rater_2!B60,"easy")+COUNTIF(Rater_3!B60,"easy"))</f>
        <v/>
      </c>
      <c r="C61" s="20">
        <f>IF($A61="","",COUNTIF(Rater_1!B60,"medium")+COUNTIF(Rater_2!B60,"medium")+COUNTIF(Rater_3!B60,"medium"))</f>
        <v/>
      </c>
      <c r="D61" s="20">
        <f>IF($A61="","",COUNTIF(Rater_1!B60,"hard")+COUNTIF(Rater_2!B60,"hard")+COUNTIF(Rater_3!B60,"hard"))</f>
        <v/>
      </c>
      <c r="E61" s="20">
        <f>IF($A61="","",IF(SUM(B61:D61)&lt;3,"incomplete",IF(MAX(B61:D61)&lt;2,"no majority",INDEX({"easy","medium","hard"},MATCH(MAX(B61:D61),B61:D61,0)))))</f>
        <v/>
      </c>
      <c r="F61" s="20">
        <f>IF($A61="","",IF(SUM(B61:D61)&lt;3,"",IF(MAX(B61:D61)=3,"full",IF(MAX(B61:D61)=2,"partial","none"))))</f>
        <v/>
      </c>
      <c r="G61" s="21">
        <f>IF($A61="","",IFERROR(AVERAGE(Rater_1!C60:F60,Rater_2!C60:F60,Rater_3!C60:F60),""))</f>
        <v/>
      </c>
      <c r="H61" s="22">
        <f>IF($A61="","",IF(SUM(B61:D61)&lt;3,"",(B61^2+C61^2+D61^2-3)/6))</f>
        <v/>
      </c>
    </row>
    <row r="62">
      <c r="A62" s="20">
        <f>IF(Questions!A60="","",Questions!A60)</f>
        <v/>
      </c>
      <c r="B62" s="20">
        <f>IF($A62="","",COUNTIF(Rater_1!B61,"easy")+COUNTIF(Rater_2!B61,"easy")+COUNTIF(Rater_3!B61,"easy"))</f>
        <v/>
      </c>
      <c r="C62" s="20">
        <f>IF($A62="","",COUNTIF(Rater_1!B61,"medium")+COUNTIF(Rater_2!B61,"medium")+COUNTIF(Rater_3!B61,"medium"))</f>
        <v/>
      </c>
      <c r="D62" s="20">
        <f>IF($A62="","",COUNTIF(Rater_1!B61,"hard")+COUNTIF(Rater_2!B61,"hard")+COUNTIF(Rater_3!B61,"hard"))</f>
        <v/>
      </c>
      <c r="E62" s="20">
        <f>IF($A62="","",IF(SUM(B62:D62)&lt;3,"incomplete",IF(MAX(B62:D62)&lt;2,"no majority",INDEX({"easy","medium","hard"},MATCH(MAX(B62:D62),B62:D62,0)))))</f>
        <v/>
      </c>
      <c r="F62" s="20">
        <f>IF($A62="","",IF(SUM(B62:D62)&lt;3,"",IF(MAX(B62:D62)=3,"full",IF(MAX(B62:D62)=2,"partial","none"))))</f>
        <v/>
      </c>
      <c r="G62" s="21">
        <f>IF($A62="","",IFERROR(AVERAGE(Rater_1!C61:F61,Rater_2!C61:F61,Rater_3!C61:F61),""))</f>
        <v/>
      </c>
      <c r="H62" s="22">
        <f>IF($A62="","",IF(SUM(B62:D62)&lt;3,"",(B62^2+C62^2+D62^2-3)/6))</f>
        <v/>
      </c>
    </row>
    <row r="63">
      <c r="A63" s="20">
        <f>IF(Questions!A61="","",Questions!A61)</f>
        <v/>
      </c>
      <c r="B63" s="20">
        <f>IF($A63="","",COUNTIF(Rater_1!B62,"easy")+COUNTIF(Rater_2!B62,"easy")+COUNTIF(Rater_3!B62,"easy"))</f>
        <v/>
      </c>
      <c r="C63" s="20">
        <f>IF($A63="","",COUNTIF(Rater_1!B62,"medium")+COUNTIF(Rater_2!B62,"medium")+COUNTIF(Rater_3!B62,"medium"))</f>
        <v/>
      </c>
      <c r="D63" s="20">
        <f>IF($A63="","",COUNTIF(Rater_1!B62,"hard")+COUNTIF(Rater_2!B62,"hard")+COUNTIF(Rater_3!B62,"hard"))</f>
        <v/>
      </c>
      <c r="E63" s="20">
        <f>IF($A63="","",IF(SUM(B63:D63)&lt;3,"incomplete",IF(MAX(B63:D63)&lt;2,"no majority",INDEX({"easy","medium","hard"},MATCH(MAX(B63:D63),B63:D63,0)))))</f>
        <v/>
      </c>
      <c r="F63" s="20">
        <f>IF($A63="","",IF(SUM(B63:D63)&lt;3,"",IF(MAX(B63:D63)=3,"full",IF(MAX(B63:D63)=2,"partial","none"))))</f>
        <v/>
      </c>
      <c r="G63" s="21">
        <f>IF($A63="","",IFERROR(AVERAGE(Rater_1!C62:F62,Rater_2!C62:F62,Rater_3!C62:F62),""))</f>
        <v/>
      </c>
      <c r="H63" s="22">
        <f>IF($A63="","",IF(SUM(B63:D63)&lt;3,"",(B63^2+C63^2+D63^2-3)/6))</f>
        <v/>
      </c>
    </row>
    <row r="65">
      <c r="A65" s="23" t="inlineStr">
        <is>
          <t>Summary</t>
        </is>
      </c>
    </row>
    <row r="66">
      <c r="A66" s="24" t="inlineStr">
        <is>
          <t>Questions rated (all 3 raters)</t>
        </is>
      </c>
      <c r="D66" s="25">
        <f>SUMPRODUCT(--(H4:H63&lt;&gt;""))</f>
        <v/>
      </c>
      <c r="E66" s="26" t="inlineStr">
        <is>
          <t>items with a complete set of three difficulty labels</t>
        </is>
      </c>
    </row>
    <row r="67">
      <c r="A67" s="24" t="inlineStr">
        <is>
          <t>Full agreement (3/3)</t>
        </is>
      </c>
      <c r="D67" s="27">
        <f>IFERROR(COUNTIF(F4:F63,"full")/SUMPRODUCT(--(H4:H63&lt;&gt;"")),"")</f>
        <v/>
      </c>
      <c r="E67" s="26" t="inlineStr">
        <is>
          <t>all three raters chose the same difficulty</t>
        </is>
      </c>
    </row>
    <row r="68">
      <c r="A68" s="24" t="inlineStr">
        <is>
          <t>Any majority (≥2/3)</t>
        </is>
      </c>
      <c r="D68" s="27">
        <f>IFERROR((COUNTIF(F4:F63,"full")+COUNTIF(F4:F63,"partial"))/SUMPRODUCT(--(H4:H63&lt;&gt;"")),"")</f>
        <v/>
      </c>
    </row>
    <row r="69">
      <c r="A69" s="24" t="inlineStr">
        <is>
          <t>Mean quality (all raters, all dimensions)</t>
        </is>
      </c>
      <c r="D69" s="28">
        <f>IFERROR(AVERAGE(G4:G63),"")</f>
        <v/>
      </c>
    </row>
    <row r="71">
      <c r="A71" s="9" t="inlineStr">
        <is>
          <t>Fleiss' kappa — difficulty labels</t>
        </is>
      </c>
    </row>
    <row r="72">
      <c r="A72" s="24" t="inlineStr">
        <is>
          <t>P̄  (mean observed agreement)</t>
        </is>
      </c>
      <c r="D72" s="29">
        <f>IFERROR(AVERAGE(H4:H63),"")</f>
        <v/>
      </c>
    </row>
    <row r="73">
      <c r="A73" s="24" t="inlineStr">
        <is>
          <t>p_easy</t>
        </is>
      </c>
      <c r="D73" s="29">
        <f>IFERROR(SUM(B4:B63)/(D66*3),"")</f>
        <v/>
      </c>
    </row>
    <row r="74">
      <c r="A74" s="24" t="inlineStr">
        <is>
          <t>p_medium</t>
        </is>
      </c>
      <c r="D74" s="29">
        <f>IFERROR(SUM(C4:C63)/(D66*3),"")</f>
        <v/>
      </c>
    </row>
    <row r="75">
      <c r="A75" s="24" t="inlineStr">
        <is>
          <t>p_hard</t>
        </is>
      </c>
      <c r="D75" s="29">
        <f>IFERROR(SUM(D4:D63)/(D66*3),"")</f>
        <v/>
      </c>
    </row>
    <row r="76">
      <c r="A76" s="24" t="inlineStr">
        <is>
          <t>P_e  (expected by chance)</t>
        </is>
      </c>
      <c r="D76" s="29">
        <f>IFERROR(D73^2+D74^2+D75^2,"")</f>
        <v/>
      </c>
    </row>
    <row r="77">
      <c r="A77" s="24" t="inlineStr">
        <is>
          <t>Fleiss' kappa</t>
        </is>
      </c>
      <c r="D77" s="30">
        <f>IFERROR((D72-D76)/(1-D76),"")</f>
        <v/>
      </c>
      <c r="E77" s="26" t="inlineStr">
        <is>
          <t>&lt;0.20 poor · 0.21–0.40 fair · 0.41–0.60 moderate · 0.61–0.80 substantial · &gt;0.80 almost perfect</t>
        </is>
      </c>
    </row>
    <row r="79">
      <c r="A79" s="31" t="inlineStr">
        <is>
          <t>Note: kappa is computed on the difficulty labels only. Quality scores are ordinal — report their mean and spread, and use a weighted kappa or ICC if a formal quality-agreement figure is needed.</t>
        </is>
      </c>
    </row>
  </sheetData>
  <mergeCells count="14">
    <mergeCell ref="E66:H66"/>
    <mergeCell ref="A76:C76"/>
    <mergeCell ref="A68:C68"/>
    <mergeCell ref="A66:C66"/>
    <mergeCell ref="A75:C75"/>
    <mergeCell ref="A79:H79"/>
    <mergeCell ref="A74:C74"/>
    <mergeCell ref="A67:C67"/>
    <mergeCell ref="A77:C77"/>
    <mergeCell ref="A69:C69"/>
    <mergeCell ref="E77:H77"/>
    <mergeCell ref="E67:H67"/>
    <mergeCell ref="A73:C73"/>
    <mergeCell ref="A72:C7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7"/>
  <sheetViews>
    <sheetView showGridLines="0" workbookViewId="0">
      <pane ySplit="3" topLeftCell="A4" activePane="bottomLeft" state="frozen"/>
      <selection pane="bottomLeft" activeCell="A1" sqref="A1"/>
    </sheetView>
  </sheetViews>
  <sheetFormatPr baseColWidth="8" defaultRowHeight="15"/>
  <cols>
    <col width="14" customWidth="1" min="1" max="1"/>
    <col width="17" customWidth="1" min="2" max="2"/>
    <col width="14" customWidth="1" min="3" max="3"/>
    <col width="13" customWidth="1" min="4" max="4"/>
    <col width="15" customWidth="1" min="5" max="5"/>
    <col width="22" customWidth="1" min="6" max="6"/>
    <col width="16" customWidth="1" min="7" max="7"/>
    <col width="15" customWidth="1" min="8" max="8"/>
  </cols>
  <sheetData>
    <row r="1">
      <c r="A1" s="32" t="inlineStr">
        <is>
          <t>DO NOT OPEN until all three raters have finished labelling. Contains the system's own difficulty label and the LLM judge's scores.</t>
        </is>
      </c>
    </row>
    <row r="3" ht="26" customHeight="1">
      <c r="A3" s="10" t="inlineStr">
        <is>
          <t>question_id</t>
        </is>
      </c>
      <c r="B3" s="10" t="inlineStr">
        <is>
          <t>system_difficulty</t>
        </is>
      </c>
      <c r="C3" s="10" t="inlineStr">
        <is>
          <t>judge_question</t>
        </is>
      </c>
      <c r="D3" s="10" t="inlineStr">
        <is>
          <t>judge_answer</t>
        </is>
      </c>
      <c r="E3" s="10" t="inlineStr">
        <is>
          <t>judge_retrieval</t>
        </is>
      </c>
      <c r="F3" s="10" t="inlineStr">
        <is>
          <t>judge_backend</t>
        </is>
      </c>
      <c r="G3" s="10" t="inlineStr">
        <is>
          <t>human_consensus</t>
        </is>
      </c>
      <c r="H3" s="10" t="inlineStr">
        <is>
          <t>difficulty_match</t>
        </is>
      </c>
    </row>
    <row r="4">
      <c r="A4" s="20">
        <f>IF(Questions!A2="","",Questions!A2)</f>
        <v/>
      </c>
      <c r="B4" s="20" t="n"/>
      <c r="C4" s="33" t="n"/>
      <c r="D4" s="33" t="n"/>
      <c r="E4" s="33" t="n"/>
      <c r="F4" s="20" t="n"/>
      <c r="G4" s="20">
        <f>IF($A4="","",Agreement!E4)</f>
        <v/>
      </c>
      <c r="H4" s="20">
        <f>IF(OR($A4="",$B4="",$G4="",$G4="no majority",$G4="incomplete"),"",IF(EXACT($B4,$G4),"match","differs"))</f>
        <v/>
      </c>
    </row>
    <row r="5">
      <c r="A5" s="20">
        <f>IF(Questions!A3="","",Questions!A3)</f>
        <v/>
      </c>
      <c r="B5" s="20" t="n"/>
      <c r="C5" s="33" t="n"/>
      <c r="D5" s="33" t="n"/>
      <c r="E5" s="33" t="n"/>
      <c r="F5" s="20" t="n"/>
      <c r="G5" s="20">
        <f>IF($A5="","",Agreement!E5)</f>
        <v/>
      </c>
      <c r="H5" s="20">
        <f>IF(OR($A5="",$B5="",$G5="",$G5="no majority",$G5="incomplete"),"",IF(EXACT($B5,$G5),"match","differs"))</f>
        <v/>
      </c>
    </row>
    <row r="6">
      <c r="A6" s="20">
        <f>IF(Questions!A4="","",Questions!A4)</f>
        <v/>
      </c>
      <c r="B6" s="20" t="n"/>
      <c r="C6" s="33" t="n"/>
      <c r="D6" s="33" t="n"/>
      <c r="E6" s="33" t="n"/>
      <c r="F6" s="20" t="n"/>
      <c r="G6" s="20">
        <f>IF($A6="","",Agreement!E6)</f>
        <v/>
      </c>
      <c r="H6" s="20">
        <f>IF(OR($A6="",$B6="",$G6="",$G6="no majority",$G6="incomplete"),"",IF(EXACT($B6,$G6),"match","differs"))</f>
        <v/>
      </c>
    </row>
    <row r="7">
      <c r="A7" s="20">
        <f>IF(Questions!A5="","",Questions!A5)</f>
        <v/>
      </c>
      <c r="B7" s="20" t="n"/>
      <c r="C7" s="33" t="n"/>
      <c r="D7" s="33" t="n"/>
      <c r="E7" s="33" t="n"/>
      <c r="F7" s="20" t="n"/>
      <c r="G7" s="20">
        <f>IF($A7="","",Agreement!E7)</f>
        <v/>
      </c>
      <c r="H7" s="20">
        <f>IF(OR($A7="",$B7="",$G7="",$G7="no majority",$G7="incomplete"),"",IF(EXACT($B7,$G7),"match","differs"))</f>
        <v/>
      </c>
    </row>
    <row r="8">
      <c r="A8" s="20">
        <f>IF(Questions!A6="","",Questions!A6)</f>
        <v/>
      </c>
      <c r="B8" s="20" t="n"/>
      <c r="C8" s="33" t="n"/>
      <c r="D8" s="33" t="n"/>
      <c r="E8" s="33" t="n"/>
      <c r="F8" s="20" t="n"/>
      <c r="G8" s="20">
        <f>IF($A8="","",Agreement!E8)</f>
        <v/>
      </c>
      <c r="H8" s="20">
        <f>IF(OR($A8="",$B8="",$G8="",$G8="no majority",$G8="incomplete"),"",IF(EXACT($B8,$G8),"match","differs"))</f>
        <v/>
      </c>
    </row>
    <row r="9">
      <c r="A9" s="20">
        <f>IF(Questions!A7="","",Questions!A7)</f>
        <v/>
      </c>
      <c r="B9" s="20" t="n"/>
      <c r="C9" s="33" t="n"/>
      <c r="D9" s="33" t="n"/>
      <c r="E9" s="33" t="n"/>
      <c r="F9" s="20" t="n"/>
      <c r="G9" s="20">
        <f>IF($A9="","",Agreement!E9)</f>
        <v/>
      </c>
      <c r="H9" s="20">
        <f>IF(OR($A9="",$B9="",$G9="",$G9="no majority",$G9="incomplete"),"",IF(EXACT($B9,$G9),"match","differs"))</f>
        <v/>
      </c>
    </row>
    <row r="10">
      <c r="A10" s="20">
        <f>IF(Questions!A8="","",Questions!A8)</f>
        <v/>
      </c>
      <c r="B10" s="20" t="n"/>
      <c r="C10" s="33" t="n"/>
      <c r="D10" s="33" t="n"/>
      <c r="E10" s="33" t="n"/>
      <c r="F10" s="20" t="n"/>
      <c r="G10" s="20">
        <f>IF($A10="","",Agreement!E10)</f>
        <v/>
      </c>
      <c r="H10" s="20">
        <f>IF(OR($A10="",$B10="",$G10="",$G10="no majority",$G10="incomplete"),"",IF(EXACT($B10,$G10),"match","differs"))</f>
        <v/>
      </c>
    </row>
    <row r="11">
      <c r="A11" s="20">
        <f>IF(Questions!A9="","",Questions!A9)</f>
        <v/>
      </c>
      <c r="B11" s="20" t="n"/>
      <c r="C11" s="33" t="n"/>
      <c r="D11" s="33" t="n"/>
      <c r="E11" s="33" t="n"/>
      <c r="F11" s="20" t="n"/>
      <c r="G11" s="20">
        <f>IF($A11="","",Agreement!E11)</f>
        <v/>
      </c>
      <c r="H11" s="20">
        <f>IF(OR($A11="",$B11="",$G11="",$G11="no majority",$G11="incomplete"),"",IF(EXACT($B11,$G11),"match","differs"))</f>
        <v/>
      </c>
    </row>
    <row r="12">
      <c r="A12" s="20">
        <f>IF(Questions!A10="","",Questions!A10)</f>
        <v/>
      </c>
      <c r="B12" s="20" t="n"/>
      <c r="C12" s="33" t="n"/>
      <c r="D12" s="33" t="n"/>
      <c r="E12" s="33" t="n"/>
      <c r="F12" s="20" t="n"/>
      <c r="G12" s="20">
        <f>IF($A12="","",Agreement!E12)</f>
        <v/>
      </c>
      <c r="H12" s="20">
        <f>IF(OR($A12="",$B12="",$G12="",$G12="no majority",$G12="incomplete"),"",IF(EXACT($B12,$G12),"match","differs"))</f>
        <v/>
      </c>
    </row>
    <row r="13">
      <c r="A13" s="20">
        <f>IF(Questions!A11="","",Questions!A11)</f>
        <v/>
      </c>
      <c r="B13" s="20" t="n"/>
      <c r="C13" s="33" t="n"/>
      <c r="D13" s="33" t="n"/>
      <c r="E13" s="33" t="n"/>
      <c r="F13" s="20" t="n"/>
      <c r="G13" s="20">
        <f>IF($A13="","",Agreement!E13)</f>
        <v/>
      </c>
      <c r="H13" s="20">
        <f>IF(OR($A13="",$B13="",$G13="",$G13="no majority",$G13="incomplete"),"",IF(EXACT($B13,$G13),"match","differs"))</f>
        <v/>
      </c>
    </row>
    <row r="14">
      <c r="A14" s="20">
        <f>IF(Questions!A12="","",Questions!A12)</f>
        <v/>
      </c>
      <c r="B14" s="20" t="n"/>
      <c r="C14" s="33" t="n"/>
      <c r="D14" s="33" t="n"/>
      <c r="E14" s="33" t="n"/>
      <c r="F14" s="20" t="n"/>
      <c r="G14" s="20">
        <f>IF($A14="","",Agreement!E14)</f>
        <v/>
      </c>
      <c r="H14" s="20">
        <f>IF(OR($A14="",$B14="",$G14="",$G14="no majority",$G14="incomplete"),"",IF(EXACT($B14,$G14),"match","differs"))</f>
        <v/>
      </c>
    </row>
    <row r="15">
      <c r="A15" s="20">
        <f>IF(Questions!A13="","",Questions!A13)</f>
        <v/>
      </c>
      <c r="B15" s="20" t="n"/>
      <c r="C15" s="33" t="n"/>
      <c r="D15" s="33" t="n"/>
      <c r="E15" s="33" t="n"/>
      <c r="F15" s="20" t="n"/>
      <c r="G15" s="20">
        <f>IF($A15="","",Agreement!E15)</f>
        <v/>
      </c>
      <c r="H15" s="20">
        <f>IF(OR($A15="",$B15="",$G15="",$G15="no majority",$G15="incomplete"),"",IF(EXACT($B15,$G15),"match","differs"))</f>
        <v/>
      </c>
    </row>
    <row r="16">
      <c r="A16" s="20">
        <f>IF(Questions!A14="","",Questions!A14)</f>
        <v/>
      </c>
      <c r="B16" s="20" t="n"/>
      <c r="C16" s="33" t="n"/>
      <c r="D16" s="33" t="n"/>
      <c r="E16" s="33" t="n"/>
      <c r="F16" s="20" t="n"/>
      <c r="G16" s="20">
        <f>IF($A16="","",Agreement!E16)</f>
        <v/>
      </c>
      <c r="H16" s="20">
        <f>IF(OR($A16="",$B16="",$G16="",$G16="no majority",$G16="incomplete"),"",IF(EXACT($B16,$G16),"match","differs"))</f>
        <v/>
      </c>
    </row>
    <row r="17">
      <c r="A17" s="20">
        <f>IF(Questions!A15="","",Questions!A15)</f>
        <v/>
      </c>
      <c r="B17" s="20" t="n"/>
      <c r="C17" s="33" t="n"/>
      <c r="D17" s="33" t="n"/>
      <c r="E17" s="33" t="n"/>
      <c r="F17" s="20" t="n"/>
      <c r="G17" s="20">
        <f>IF($A17="","",Agreement!E17)</f>
        <v/>
      </c>
      <c r="H17" s="20">
        <f>IF(OR($A17="",$B17="",$G17="",$G17="no majority",$G17="incomplete"),"",IF(EXACT($B17,$G17),"match","differs"))</f>
        <v/>
      </c>
    </row>
    <row r="18">
      <c r="A18" s="20">
        <f>IF(Questions!A16="","",Questions!A16)</f>
        <v/>
      </c>
      <c r="B18" s="20" t="n"/>
      <c r="C18" s="33" t="n"/>
      <c r="D18" s="33" t="n"/>
      <c r="E18" s="33" t="n"/>
      <c r="F18" s="20" t="n"/>
      <c r="G18" s="20">
        <f>IF($A18="","",Agreement!E18)</f>
        <v/>
      </c>
      <c r="H18" s="20">
        <f>IF(OR($A18="",$B18="",$G18="",$G18="no majority",$G18="incomplete"),"",IF(EXACT($B18,$G18),"match","differs"))</f>
        <v/>
      </c>
    </row>
    <row r="19">
      <c r="A19" s="20">
        <f>IF(Questions!A17="","",Questions!A17)</f>
        <v/>
      </c>
      <c r="B19" s="20" t="n"/>
      <c r="C19" s="33" t="n"/>
      <c r="D19" s="33" t="n"/>
      <c r="E19" s="33" t="n"/>
      <c r="F19" s="20" t="n"/>
      <c r="G19" s="20">
        <f>IF($A19="","",Agreement!E19)</f>
        <v/>
      </c>
      <c r="H19" s="20">
        <f>IF(OR($A19="",$B19="",$G19="",$G19="no majority",$G19="incomplete"),"",IF(EXACT($B19,$G19),"match","differs"))</f>
        <v/>
      </c>
    </row>
    <row r="20">
      <c r="A20" s="20">
        <f>IF(Questions!A18="","",Questions!A18)</f>
        <v/>
      </c>
      <c r="B20" s="20" t="n"/>
      <c r="C20" s="33" t="n"/>
      <c r="D20" s="33" t="n"/>
      <c r="E20" s="33" t="n"/>
      <c r="F20" s="20" t="n"/>
      <c r="G20" s="20">
        <f>IF($A20="","",Agreement!E20)</f>
        <v/>
      </c>
      <c r="H20" s="20">
        <f>IF(OR($A20="",$B20="",$G20="",$G20="no majority",$G20="incomplete"),"",IF(EXACT($B20,$G20),"match","differs"))</f>
        <v/>
      </c>
    </row>
    <row r="21">
      <c r="A21" s="20">
        <f>IF(Questions!A19="","",Questions!A19)</f>
        <v/>
      </c>
      <c r="B21" s="20" t="n"/>
      <c r="C21" s="33" t="n"/>
      <c r="D21" s="33" t="n"/>
      <c r="E21" s="33" t="n"/>
      <c r="F21" s="20" t="n"/>
      <c r="G21" s="20">
        <f>IF($A21="","",Agreement!E21)</f>
        <v/>
      </c>
      <c r="H21" s="20">
        <f>IF(OR($A21="",$B21="",$G21="",$G21="no majority",$G21="incomplete"),"",IF(EXACT($B21,$G21),"match","differs"))</f>
        <v/>
      </c>
    </row>
    <row r="22">
      <c r="A22" s="20">
        <f>IF(Questions!A20="","",Questions!A20)</f>
        <v/>
      </c>
      <c r="B22" s="20" t="n"/>
      <c r="C22" s="33" t="n"/>
      <c r="D22" s="33" t="n"/>
      <c r="E22" s="33" t="n"/>
      <c r="F22" s="20" t="n"/>
      <c r="G22" s="20">
        <f>IF($A22="","",Agreement!E22)</f>
        <v/>
      </c>
      <c r="H22" s="20">
        <f>IF(OR($A22="",$B22="",$G22="",$G22="no majority",$G22="incomplete"),"",IF(EXACT($B22,$G22),"match","differs"))</f>
        <v/>
      </c>
    </row>
    <row r="23">
      <c r="A23" s="20">
        <f>IF(Questions!A21="","",Questions!A21)</f>
        <v/>
      </c>
      <c r="B23" s="20" t="n"/>
      <c r="C23" s="33" t="n"/>
      <c r="D23" s="33" t="n"/>
      <c r="E23" s="33" t="n"/>
      <c r="F23" s="20" t="n"/>
      <c r="G23" s="20">
        <f>IF($A23="","",Agreement!E23)</f>
        <v/>
      </c>
      <c r="H23" s="20">
        <f>IF(OR($A23="",$B23="",$G23="",$G23="no majority",$G23="incomplete"),"",IF(EXACT($B23,$G23),"match","differs"))</f>
        <v/>
      </c>
    </row>
    <row r="24">
      <c r="A24" s="20">
        <f>IF(Questions!A22="","",Questions!A22)</f>
        <v/>
      </c>
      <c r="B24" s="20" t="n"/>
      <c r="C24" s="33" t="n"/>
      <c r="D24" s="33" t="n"/>
      <c r="E24" s="33" t="n"/>
      <c r="F24" s="20" t="n"/>
      <c r="G24" s="20">
        <f>IF($A24="","",Agreement!E24)</f>
        <v/>
      </c>
      <c r="H24" s="20">
        <f>IF(OR($A24="",$B24="",$G24="",$G24="no majority",$G24="incomplete"),"",IF(EXACT($B24,$G24),"match","differs"))</f>
        <v/>
      </c>
    </row>
    <row r="25">
      <c r="A25" s="20">
        <f>IF(Questions!A23="","",Questions!A23)</f>
        <v/>
      </c>
      <c r="B25" s="20" t="n"/>
      <c r="C25" s="33" t="n"/>
      <c r="D25" s="33" t="n"/>
      <c r="E25" s="33" t="n"/>
      <c r="F25" s="20" t="n"/>
      <c r="G25" s="20">
        <f>IF($A25="","",Agreement!E25)</f>
        <v/>
      </c>
      <c r="H25" s="20">
        <f>IF(OR($A25="",$B25="",$G25="",$G25="no majority",$G25="incomplete"),"",IF(EXACT($B25,$G25),"match","differs"))</f>
        <v/>
      </c>
    </row>
    <row r="26">
      <c r="A26" s="20">
        <f>IF(Questions!A24="","",Questions!A24)</f>
        <v/>
      </c>
      <c r="B26" s="20" t="n"/>
      <c r="C26" s="33" t="n"/>
      <c r="D26" s="33" t="n"/>
      <c r="E26" s="33" t="n"/>
      <c r="F26" s="20" t="n"/>
      <c r="G26" s="20">
        <f>IF($A26="","",Agreement!E26)</f>
        <v/>
      </c>
      <c r="H26" s="20">
        <f>IF(OR($A26="",$B26="",$G26="",$G26="no majority",$G26="incomplete"),"",IF(EXACT($B26,$G26),"match","differs"))</f>
        <v/>
      </c>
    </row>
    <row r="27">
      <c r="A27" s="20">
        <f>IF(Questions!A25="","",Questions!A25)</f>
        <v/>
      </c>
      <c r="B27" s="20" t="n"/>
      <c r="C27" s="33" t="n"/>
      <c r="D27" s="33" t="n"/>
      <c r="E27" s="33" t="n"/>
      <c r="F27" s="20" t="n"/>
      <c r="G27" s="20">
        <f>IF($A27="","",Agreement!E27)</f>
        <v/>
      </c>
      <c r="H27" s="20">
        <f>IF(OR($A27="",$B27="",$G27="",$G27="no majority",$G27="incomplete"),"",IF(EXACT($B27,$G27),"match","differs"))</f>
        <v/>
      </c>
    </row>
    <row r="28">
      <c r="A28" s="20">
        <f>IF(Questions!A26="","",Questions!A26)</f>
        <v/>
      </c>
      <c r="B28" s="20" t="n"/>
      <c r="C28" s="33" t="n"/>
      <c r="D28" s="33" t="n"/>
      <c r="E28" s="33" t="n"/>
      <c r="F28" s="20" t="n"/>
      <c r="G28" s="20">
        <f>IF($A28="","",Agreement!E28)</f>
        <v/>
      </c>
      <c r="H28" s="20">
        <f>IF(OR($A28="",$B28="",$G28="",$G28="no majority",$G28="incomplete"),"",IF(EXACT($B28,$G28),"match","differs"))</f>
        <v/>
      </c>
    </row>
    <row r="29">
      <c r="A29" s="20">
        <f>IF(Questions!A27="","",Questions!A27)</f>
        <v/>
      </c>
      <c r="B29" s="20" t="n"/>
      <c r="C29" s="33" t="n"/>
      <c r="D29" s="33" t="n"/>
      <c r="E29" s="33" t="n"/>
      <c r="F29" s="20" t="n"/>
      <c r="G29" s="20">
        <f>IF($A29="","",Agreement!E29)</f>
        <v/>
      </c>
      <c r="H29" s="20">
        <f>IF(OR($A29="",$B29="",$G29="",$G29="no majority",$G29="incomplete"),"",IF(EXACT($B29,$G29),"match","differs"))</f>
        <v/>
      </c>
    </row>
    <row r="30">
      <c r="A30" s="20">
        <f>IF(Questions!A28="","",Questions!A28)</f>
        <v/>
      </c>
      <c r="B30" s="20" t="n"/>
      <c r="C30" s="33" t="n"/>
      <c r="D30" s="33" t="n"/>
      <c r="E30" s="33" t="n"/>
      <c r="F30" s="20" t="n"/>
      <c r="G30" s="20">
        <f>IF($A30="","",Agreement!E30)</f>
        <v/>
      </c>
      <c r="H30" s="20">
        <f>IF(OR($A30="",$B30="",$G30="",$G30="no majority",$G30="incomplete"),"",IF(EXACT($B30,$G30),"match","differs"))</f>
        <v/>
      </c>
    </row>
    <row r="31">
      <c r="A31" s="20">
        <f>IF(Questions!A29="","",Questions!A29)</f>
        <v/>
      </c>
      <c r="B31" s="20" t="n"/>
      <c r="C31" s="33" t="n"/>
      <c r="D31" s="33" t="n"/>
      <c r="E31" s="33" t="n"/>
      <c r="F31" s="20" t="n"/>
      <c r="G31" s="20">
        <f>IF($A31="","",Agreement!E31)</f>
        <v/>
      </c>
      <c r="H31" s="20">
        <f>IF(OR($A31="",$B31="",$G31="",$G31="no majority",$G31="incomplete"),"",IF(EXACT($B31,$G31),"match","differs"))</f>
        <v/>
      </c>
    </row>
    <row r="32">
      <c r="A32" s="20">
        <f>IF(Questions!A30="","",Questions!A30)</f>
        <v/>
      </c>
      <c r="B32" s="20" t="n"/>
      <c r="C32" s="33" t="n"/>
      <c r="D32" s="33" t="n"/>
      <c r="E32" s="33" t="n"/>
      <c r="F32" s="20" t="n"/>
      <c r="G32" s="20">
        <f>IF($A32="","",Agreement!E32)</f>
        <v/>
      </c>
      <c r="H32" s="20">
        <f>IF(OR($A32="",$B32="",$G32="",$G32="no majority",$G32="incomplete"),"",IF(EXACT($B32,$G32),"match","differs"))</f>
        <v/>
      </c>
    </row>
    <row r="33">
      <c r="A33" s="20">
        <f>IF(Questions!A31="","",Questions!A31)</f>
        <v/>
      </c>
      <c r="B33" s="20" t="n"/>
      <c r="C33" s="33" t="n"/>
      <c r="D33" s="33" t="n"/>
      <c r="E33" s="33" t="n"/>
      <c r="F33" s="20" t="n"/>
      <c r="G33" s="20">
        <f>IF($A33="","",Agreement!E33)</f>
        <v/>
      </c>
      <c r="H33" s="20">
        <f>IF(OR($A33="",$B33="",$G33="",$G33="no majority",$G33="incomplete"),"",IF(EXACT($B33,$G33),"match","differs"))</f>
        <v/>
      </c>
    </row>
    <row r="34">
      <c r="A34" s="20">
        <f>IF(Questions!A32="","",Questions!A32)</f>
        <v/>
      </c>
      <c r="B34" s="20" t="n"/>
      <c r="C34" s="33" t="n"/>
      <c r="D34" s="33" t="n"/>
      <c r="E34" s="33" t="n"/>
      <c r="F34" s="20" t="n"/>
      <c r="G34" s="20">
        <f>IF($A34="","",Agreement!E34)</f>
        <v/>
      </c>
      <c r="H34" s="20">
        <f>IF(OR($A34="",$B34="",$G34="",$G34="no majority",$G34="incomplete"),"",IF(EXACT($B34,$G34),"match","differs"))</f>
        <v/>
      </c>
    </row>
    <row r="35">
      <c r="A35" s="20">
        <f>IF(Questions!A33="","",Questions!A33)</f>
        <v/>
      </c>
      <c r="B35" s="20" t="n"/>
      <c r="C35" s="33" t="n"/>
      <c r="D35" s="33" t="n"/>
      <c r="E35" s="33" t="n"/>
      <c r="F35" s="20" t="n"/>
      <c r="G35" s="20">
        <f>IF($A35="","",Agreement!E35)</f>
        <v/>
      </c>
      <c r="H35" s="20">
        <f>IF(OR($A35="",$B35="",$G35="",$G35="no majority",$G35="incomplete"),"",IF(EXACT($B35,$G35),"match","differs"))</f>
        <v/>
      </c>
    </row>
    <row r="36">
      <c r="A36" s="20">
        <f>IF(Questions!A34="","",Questions!A34)</f>
        <v/>
      </c>
      <c r="B36" s="20" t="n"/>
      <c r="C36" s="33" t="n"/>
      <c r="D36" s="33" t="n"/>
      <c r="E36" s="33" t="n"/>
      <c r="F36" s="20" t="n"/>
      <c r="G36" s="20">
        <f>IF($A36="","",Agreement!E36)</f>
        <v/>
      </c>
      <c r="H36" s="20">
        <f>IF(OR($A36="",$B36="",$G36="",$G36="no majority",$G36="incomplete"),"",IF(EXACT($B36,$G36),"match","differs"))</f>
        <v/>
      </c>
    </row>
    <row r="37">
      <c r="A37" s="20">
        <f>IF(Questions!A35="","",Questions!A35)</f>
        <v/>
      </c>
      <c r="B37" s="20" t="n"/>
      <c r="C37" s="33" t="n"/>
      <c r="D37" s="33" t="n"/>
      <c r="E37" s="33" t="n"/>
      <c r="F37" s="20" t="n"/>
      <c r="G37" s="20">
        <f>IF($A37="","",Agreement!E37)</f>
        <v/>
      </c>
      <c r="H37" s="20">
        <f>IF(OR($A37="",$B37="",$G37="",$G37="no majority",$G37="incomplete"),"",IF(EXACT($B37,$G37),"match","differs"))</f>
        <v/>
      </c>
    </row>
    <row r="38">
      <c r="A38" s="20">
        <f>IF(Questions!A36="","",Questions!A36)</f>
        <v/>
      </c>
      <c r="B38" s="20" t="n"/>
      <c r="C38" s="33" t="n"/>
      <c r="D38" s="33" t="n"/>
      <c r="E38" s="33" t="n"/>
      <c r="F38" s="20" t="n"/>
      <c r="G38" s="20">
        <f>IF($A38="","",Agreement!E38)</f>
        <v/>
      </c>
      <c r="H38" s="20">
        <f>IF(OR($A38="",$B38="",$G38="",$G38="no majority",$G38="incomplete"),"",IF(EXACT($B38,$G38),"match","differs"))</f>
        <v/>
      </c>
    </row>
    <row r="39">
      <c r="A39" s="20">
        <f>IF(Questions!A37="","",Questions!A37)</f>
        <v/>
      </c>
      <c r="B39" s="20" t="n"/>
      <c r="C39" s="33" t="n"/>
      <c r="D39" s="33" t="n"/>
      <c r="E39" s="33" t="n"/>
      <c r="F39" s="20" t="n"/>
      <c r="G39" s="20">
        <f>IF($A39="","",Agreement!E39)</f>
        <v/>
      </c>
      <c r="H39" s="20">
        <f>IF(OR($A39="",$B39="",$G39="",$G39="no majority",$G39="incomplete"),"",IF(EXACT($B39,$G39),"match","differs"))</f>
        <v/>
      </c>
    </row>
    <row r="40">
      <c r="A40" s="20">
        <f>IF(Questions!A38="","",Questions!A38)</f>
        <v/>
      </c>
      <c r="B40" s="20" t="n"/>
      <c r="C40" s="33" t="n"/>
      <c r="D40" s="33" t="n"/>
      <c r="E40" s="33" t="n"/>
      <c r="F40" s="20" t="n"/>
      <c r="G40" s="20">
        <f>IF($A40="","",Agreement!E40)</f>
        <v/>
      </c>
      <c r="H40" s="20">
        <f>IF(OR($A40="",$B40="",$G40="",$G40="no majority",$G40="incomplete"),"",IF(EXACT($B40,$G40),"match","differs"))</f>
        <v/>
      </c>
    </row>
    <row r="41">
      <c r="A41" s="20">
        <f>IF(Questions!A39="","",Questions!A39)</f>
        <v/>
      </c>
      <c r="B41" s="20" t="n"/>
      <c r="C41" s="33" t="n"/>
      <c r="D41" s="33" t="n"/>
      <c r="E41" s="33" t="n"/>
      <c r="F41" s="20" t="n"/>
      <c r="G41" s="20">
        <f>IF($A41="","",Agreement!E41)</f>
        <v/>
      </c>
      <c r="H41" s="20">
        <f>IF(OR($A41="",$B41="",$G41="",$G41="no majority",$G41="incomplete"),"",IF(EXACT($B41,$G41),"match","differs"))</f>
        <v/>
      </c>
    </row>
    <row r="42">
      <c r="A42" s="20">
        <f>IF(Questions!A40="","",Questions!A40)</f>
        <v/>
      </c>
      <c r="B42" s="20" t="n"/>
      <c r="C42" s="33" t="n"/>
      <c r="D42" s="33" t="n"/>
      <c r="E42" s="33" t="n"/>
      <c r="F42" s="20" t="n"/>
      <c r="G42" s="20">
        <f>IF($A42="","",Agreement!E42)</f>
        <v/>
      </c>
      <c r="H42" s="20">
        <f>IF(OR($A42="",$B42="",$G42="",$G42="no majority",$G42="incomplete"),"",IF(EXACT($B42,$G42),"match","differs"))</f>
        <v/>
      </c>
    </row>
    <row r="43">
      <c r="A43" s="20">
        <f>IF(Questions!A41="","",Questions!A41)</f>
        <v/>
      </c>
      <c r="B43" s="20" t="n"/>
      <c r="C43" s="33" t="n"/>
      <c r="D43" s="33" t="n"/>
      <c r="E43" s="33" t="n"/>
      <c r="F43" s="20" t="n"/>
      <c r="G43" s="20">
        <f>IF($A43="","",Agreement!E43)</f>
        <v/>
      </c>
      <c r="H43" s="20">
        <f>IF(OR($A43="",$B43="",$G43="",$G43="no majority",$G43="incomplete"),"",IF(EXACT($B43,$G43),"match","differs"))</f>
        <v/>
      </c>
    </row>
    <row r="44">
      <c r="A44" s="20">
        <f>IF(Questions!A42="","",Questions!A42)</f>
        <v/>
      </c>
      <c r="B44" s="20" t="n"/>
      <c r="C44" s="33" t="n"/>
      <c r="D44" s="33" t="n"/>
      <c r="E44" s="33" t="n"/>
      <c r="F44" s="20" t="n"/>
      <c r="G44" s="20">
        <f>IF($A44="","",Agreement!E44)</f>
        <v/>
      </c>
      <c r="H44" s="20">
        <f>IF(OR($A44="",$B44="",$G44="",$G44="no majority",$G44="incomplete"),"",IF(EXACT($B44,$G44),"match","differs"))</f>
        <v/>
      </c>
    </row>
    <row r="45">
      <c r="A45" s="20">
        <f>IF(Questions!A43="","",Questions!A43)</f>
        <v/>
      </c>
      <c r="B45" s="20" t="n"/>
      <c r="C45" s="33" t="n"/>
      <c r="D45" s="33" t="n"/>
      <c r="E45" s="33" t="n"/>
      <c r="F45" s="20" t="n"/>
      <c r="G45" s="20">
        <f>IF($A45="","",Agreement!E45)</f>
        <v/>
      </c>
      <c r="H45" s="20">
        <f>IF(OR($A45="",$B45="",$G45="",$G45="no majority",$G45="incomplete"),"",IF(EXACT($B45,$G45),"match","differs"))</f>
        <v/>
      </c>
    </row>
    <row r="46">
      <c r="A46" s="20">
        <f>IF(Questions!A44="","",Questions!A44)</f>
        <v/>
      </c>
      <c r="B46" s="20" t="n"/>
      <c r="C46" s="33" t="n"/>
      <c r="D46" s="33" t="n"/>
      <c r="E46" s="33" t="n"/>
      <c r="F46" s="20" t="n"/>
      <c r="G46" s="20">
        <f>IF($A46="","",Agreement!E46)</f>
        <v/>
      </c>
      <c r="H46" s="20">
        <f>IF(OR($A46="",$B46="",$G46="",$G46="no majority",$G46="incomplete"),"",IF(EXACT($B46,$G46),"match","differs"))</f>
        <v/>
      </c>
    </row>
    <row r="47">
      <c r="A47" s="20">
        <f>IF(Questions!A45="","",Questions!A45)</f>
        <v/>
      </c>
      <c r="B47" s="20" t="n"/>
      <c r="C47" s="33" t="n"/>
      <c r="D47" s="33" t="n"/>
      <c r="E47" s="33" t="n"/>
      <c r="F47" s="20" t="n"/>
      <c r="G47" s="20">
        <f>IF($A47="","",Agreement!E47)</f>
        <v/>
      </c>
      <c r="H47" s="20">
        <f>IF(OR($A47="",$B47="",$G47="",$G47="no majority",$G47="incomplete"),"",IF(EXACT($B47,$G47),"match","differs"))</f>
        <v/>
      </c>
    </row>
    <row r="48">
      <c r="A48" s="20">
        <f>IF(Questions!A46="","",Questions!A46)</f>
        <v/>
      </c>
      <c r="B48" s="20" t="n"/>
      <c r="C48" s="33" t="n"/>
      <c r="D48" s="33" t="n"/>
      <c r="E48" s="33" t="n"/>
      <c r="F48" s="20" t="n"/>
      <c r="G48" s="20">
        <f>IF($A48="","",Agreement!E48)</f>
        <v/>
      </c>
      <c r="H48" s="20">
        <f>IF(OR($A48="",$B48="",$G48="",$G48="no majority",$G48="incomplete"),"",IF(EXACT($B48,$G48),"match","differs"))</f>
        <v/>
      </c>
    </row>
    <row r="49">
      <c r="A49" s="20">
        <f>IF(Questions!A47="","",Questions!A47)</f>
        <v/>
      </c>
      <c r="B49" s="20" t="n"/>
      <c r="C49" s="33" t="n"/>
      <c r="D49" s="33" t="n"/>
      <c r="E49" s="33" t="n"/>
      <c r="F49" s="20" t="n"/>
      <c r="G49" s="20">
        <f>IF($A49="","",Agreement!E49)</f>
        <v/>
      </c>
      <c r="H49" s="20">
        <f>IF(OR($A49="",$B49="",$G49="",$G49="no majority",$G49="incomplete"),"",IF(EXACT($B49,$G49),"match","differs"))</f>
        <v/>
      </c>
    </row>
    <row r="50">
      <c r="A50" s="20">
        <f>IF(Questions!A48="","",Questions!A48)</f>
        <v/>
      </c>
      <c r="B50" s="20" t="n"/>
      <c r="C50" s="33" t="n"/>
      <c r="D50" s="33" t="n"/>
      <c r="E50" s="33" t="n"/>
      <c r="F50" s="20" t="n"/>
      <c r="G50" s="20">
        <f>IF($A50="","",Agreement!E50)</f>
        <v/>
      </c>
      <c r="H50" s="20">
        <f>IF(OR($A50="",$B50="",$G50="",$G50="no majority",$G50="incomplete"),"",IF(EXACT($B50,$G50),"match","differs"))</f>
        <v/>
      </c>
    </row>
    <row r="51">
      <c r="A51" s="20">
        <f>IF(Questions!A49="","",Questions!A49)</f>
        <v/>
      </c>
      <c r="B51" s="20" t="n"/>
      <c r="C51" s="33" t="n"/>
      <c r="D51" s="33" t="n"/>
      <c r="E51" s="33" t="n"/>
      <c r="F51" s="20" t="n"/>
      <c r="G51" s="20">
        <f>IF($A51="","",Agreement!E51)</f>
        <v/>
      </c>
      <c r="H51" s="20">
        <f>IF(OR($A51="",$B51="",$G51="",$G51="no majority",$G51="incomplete"),"",IF(EXACT($B51,$G51),"match","differs"))</f>
        <v/>
      </c>
    </row>
    <row r="52">
      <c r="A52" s="20">
        <f>IF(Questions!A50="","",Questions!A50)</f>
        <v/>
      </c>
      <c r="B52" s="20" t="n"/>
      <c r="C52" s="33" t="n"/>
      <c r="D52" s="33" t="n"/>
      <c r="E52" s="33" t="n"/>
      <c r="F52" s="20" t="n"/>
      <c r="G52" s="20">
        <f>IF($A52="","",Agreement!E52)</f>
        <v/>
      </c>
      <c r="H52" s="20">
        <f>IF(OR($A52="",$B52="",$G52="",$G52="no majority",$G52="incomplete"),"",IF(EXACT($B52,$G52),"match","differs"))</f>
        <v/>
      </c>
    </row>
    <row r="53">
      <c r="A53" s="20">
        <f>IF(Questions!A51="","",Questions!A51)</f>
        <v/>
      </c>
      <c r="B53" s="20" t="n"/>
      <c r="C53" s="33" t="n"/>
      <c r="D53" s="33" t="n"/>
      <c r="E53" s="33" t="n"/>
      <c r="F53" s="20" t="n"/>
      <c r="G53" s="20">
        <f>IF($A53="","",Agreement!E53)</f>
        <v/>
      </c>
      <c r="H53" s="20">
        <f>IF(OR($A53="",$B53="",$G53="",$G53="no majority",$G53="incomplete"),"",IF(EXACT($B53,$G53),"match","differs"))</f>
        <v/>
      </c>
    </row>
    <row r="54">
      <c r="A54" s="20">
        <f>IF(Questions!A52="","",Questions!A52)</f>
        <v/>
      </c>
      <c r="B54" s="20" t="n"/>
      <c r="C54" s="33" t="n"/>
      <c r="D54" s="33" t="n"/>
      <c r="E54" s="33" t="n"/>
      <c r="F54" s="20" t="n"/>
      <c r="G54" s="20">
        <f>IF($A54="","",Agreement!E54)</f>
        <v/>
      </c>
      <c r="H54" s="20">
        <f>IF(OR($A54="",$B54="",$G54="",$G54="no majority",$G54="incomplete"),"",IF(EXACT($B54,$G54),"match","differs"))</f>
        <v/>
      </c>
    </row>
    <row r="55">
      <c r="A55" s="20">
        <f>IF(Questions!A53="","",Questions!A53)</f>
        <v/>
      </c>
      <c r="B55" s="20" t="n"/>
      <c r="C55" s="33" t="n"/>
      <c r="D55" s="33" t="n"/>
      <c r="E55" s="33" t="n"/>
      <c r="F55" s="20" t="n"/>
      <c r="G55" s="20">
        <f>IF($A55="","",Agreement!E55)</f>
        <v/>
      </c>
      <c r="H55" s="20">
        <f>IF(OR($A55="",$B55="",$G55="",$G55="no majority",$G55="incomplete"),"",IF(EXACT($B55,$G55),"match","differs"))</f>
        <v/>
      </c>
    </row>
    <row r="56">
      <c r="A56" s="20">
        <f>IF(Questions!A54="","",Questions!A54)</f>
        <v/>
      </c>
      <c r="B56" s="20" t="n"/>
      <c r="C56" s="33" t="n"/>
      <c r="D56" s="33" t="n"/>
      <c r="E56" s="33" t="n"/>
      <c r="F56" s="20" t="n"/>
      <c r="G56" s="20">
        <f>IF($A56="","",Agreement!E56)</f>
        <v/>
      </c>
      <c r="H56" s="20">
        <f>IF(OR($A56="",$B56="",$G56="",$G56="no majority",$G56="incomplete"),"",IF(EXACT($B56,$G56),"match","differs"))</f>
        <v/>
      </c>
    </row>
    <row r="57">
      <c r="A57" s="20">
        <f>IF(Questions!A55="","",Questions!A55)</f>
        <v/>
      </c>
      <c r="B57" s="20" t="n"/>
      <c r="C57" s="33" t="n"/>
      <c r="D57" s="33" t="n"/>
      <c r="E57" s="33" t="n"/>
      <c r="F57" s="20" t="n"/>
      <c r="G57" s="20">
        <f>IF($A57="","",Agreement!E57)</f>
        <v/>
      </c>
      <c r="H57" s="20">
        <f>IF(OR($A57="",$B57="",$G57="",$G57="no majority",$G57="incomplete"),"",IF(EXACT($B57,$G57),"match","differs"))</f>
        <v/>
      </c>
    </row>
    <row r="58">
      <c r="A58" s="20">
        <f>IF(Questions!A56="","",Questions!A56)</f>
        <v/>
      </c>
      <c r="B58" s="20" t="n"/>
      <c r="C58" s="33" t="n"/>
      <c r="D58" s="33" t="n"/>
      <c r="E58" s="33" t="n"/>
      <c r="F58" s="20" t="n"/>
      <c r="G58" s="20">
        <f>IF($A58="","",Agreement!E58)</f>
        <v/>
      </c>
      <c r="H58" s="20">
        <f>IF(OR($A58="",$B58="",$G58="",$G58="no majority",$G58="incomplete"),"",IF(EXACT($B58,$G58),"match","differs"))</f>
        <v/>
      </c>
    </row>
    <row r="59">
      <c r="A59" s="20">
        <f>IF(Questions!A57="","",Questions!A57)</f>
        <v/>
      </c>
      <c r="B59" s="20" t="n"/>
      <c r="C59" s="33" t="n"/>
      <c r="D59" s="33" t="n"/>
      <c r="E59" s="33" t="n"/>
      <c r="F59" s="20" t="n"/>
      <c r="G59" s="20">
        <f>IF($A59="","",Agreement!E59)</f>
        <v/>
      </c>
      <c r="H59" s="20">
        <f>IF(OR($A59="",$B59="",$G59="",$G59="no majority",$G59="incomplete"),"",IF(EXACT($B59,$G59),"match","differs"))</f>
        <v/>
      </c>
    </row>
    <row r="60">
      <c r="A60" s="20">
        <f>IF(Questions!A58="","",Questions!A58)</f>
        <v/>
      </c>
      <c r="B60" s="20" t="n"/>
      <c r="C60" s="33" t="n"/>
      <c r="D60" s="33" t="n"/>
      <c r="E60" s="33" t="n"/>
      <c r="F60" s="20" t="n"/>
      <c r="G60" s="20">
        <f>IF($A60="","",Agreement!E60)</f>
        <v/>
      </c>
      <c r="H60" s="20">
        <f>IF(OR($A60="",$B60="",$G60="",$G60="no majority",$G60="incomplete"),"",IF(EXACT($B60,$G60),"match","differs"))</f>
        <v/>
      </c>
    </row>
    <row r="61">
      <c r="A61" s="20">
        <f>IF(Questions!A59="","",Questions!A59)</f>
        <v/>
      </c>
      <c r="B61" s="20" t="n"/>
      <c r="C61" s="33" t="n"/>
      <c r="D61" s="33" t="n"/>
      <c r="E61" s="33" t="n"/>
      <c r="F61" s="20" t="n"/>
      <c r="G61" s="20">
        <f>IF($A61="","",Agreement!E61)</f>
        <v/>
      </c>
      <c r="H61" s="20">
        <f>IF(OR($A61="",$B61="",$G61="",$G61="no majority",$G61="incomplete"),"",IF(EXACT($B61,$G61),"match","differs"))</f>
        <v/>
      </c>
    </row>
    <row r="62">
      <c r="A62" s="20">
        <f>IF(Questions!A60="","",Questions!A60)</f>
        <v/>
      </c>
      <c r="B62" s="20" t="n"/>
      <c r="C62" s="33" t="n"/>
      <c r="D62" s="33" t="n"/>
      <c r="E62" s="33" t="n"/>
      <c r="F62" s="20" t="n"/>
      <c r="G62" s="20">
        <f>IF($A62="","",Agreement!E62)</f>
        <v/>
      </c>
      <c r="H62" s="20">
        <f>IF(OR($A62="",$B62="",$G62="",$G62="no majority",$G62="incomplete"),"",IF(EXACT($B62,$G62),"match","differs"))</f>
        <v/>
      </c>
    </row>
    <row r="63">
      <c r="A63" s="20">
        <f>IF(Questions!A61="","",Questions!A61)</f>
        <v/>
      </c>
      <c r="B63" s="20" t="n"/>
      <c r="C63" s="33" t="n"/>
      <c r="D63" s="33" t="n"/>
      <c r="E63" s="33" t="n"/>
      <c r="F63" s="20" t="n"/>
      <c r="G63" s="20">
        <f>IF($A63="","",Agreement!E63)</f>
        <v/>
      </c>
      <c r="H63" s="20">
        <f>IF(OR($A63="",$B63="",$G63="",$G63="no majority",$G63="incomplete"),"",IF(EXACT($B63,$G63),"match","differs"))</f>
        <v/>
      </c>
    </row>
    <row r="65">
      <c r="A65" s="24" t="inlineStr">
        <is>
          <t>System vs human difficulty — match rate</t>
        </is>
      </c>
      <c r="D65" s="34">
        <f>IFERROR(COUNTIF(H4:H63,"match")/(COUNTIF(H4:H63,"match")+COUNTIF(H4:H63,"differs")),"")</f>
        <v/>
      </c>
      <c r="E65" s="26" t="inlineStr">
        <is>
          <t>how often the difficulty mapping agrees with the human consensus</t>
        </is>
      </c>
    </row>
    <row r="67">
      <c r="A67" s="31" t="inlineStr">
        <is>
          <t>Judge columns (C–E) are populated by scripts/build_eval_sheet.py from the evaluation records. Compare judge_question against the human 'would_use' mean on the Agreement tab — that comparison is the whole point of this exercise.</t>
        </is>
      </c>
    </row>
  </sheetData>
  <mergeCells count="3">
    <mergeCell ref="A67:H67"/>
    <mergeCell ref="A65:C65"/>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2026-08-22T18:24:44Z</dcterms:created>
  <dcterms:modified xmlns:dcterms="http://purl.org/dc/terms/" xmlns:xsi="http://www.w3.org/2001/XMLSchema-instance" xsi:type="dcterms:W3CDTF">2026-08-22T18:24:45Z</dcterms:modified>
</cp:coreProperties>
</file>